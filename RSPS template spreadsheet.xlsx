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  <sheet state="visible" name="Sheet4" sheetId="4" r:id="rId6"/>
    <sheet state="visible" name="Sheet5" sheetId="5" r:id="rId7"/>
    <sheet state="visible" name="Sheet6" sheetId="6" r:id="rId8"/>
    <sheet state="visible" name="Sheet7" sheetId="7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Conservative Portfolio Split</t>
      </text>
    </comment>
  </commentList>
</comments>
</file>

<file path=xl/sharedStrings.xml><?xml version="1.0" encoding="utf-8"?>
<sst xmlns="http://schemas.openxmlformats.org/spreadsheetml/2006/main" count="236" uniqueCount="133">
  <si>
    <t>RSPS SUBMISSION CHECKLIST</t>
  </si>
  <si>
    <t>SUBMISSION STATUS:</t>
  </si>
  <si>
    <t>GENERAL SUBMISSION REQUIREMENTS</t>
  </si>
  <si>
    <t>STATUS</t>
  </si>
  <si>
    <r>
      <rPr>
        <rFont val="Arial"/>
      </rPr>
      <t>1. Analysis is performed on 23</t>
    </r>
    <r>
      <rPr>
        <rFont val="Arial"/>
        <b/>
      </rPr>
      <t xml:space="preserve"> Feb 2024</t>
    </r>
    <r>
      <rPr>
        <rFont val="Arial"/>
      </rPr>
      <t xml:space="preserve"> across </t>
    </r>
    <r>
      <rPr>
        <rFont val="Arial"/>
        <b/>
      </rPr>
      <t>ALL</t>
    </r>
    <r>
      <rPr>
        <rFont val="Arial"/>
      </rPr>
      <t xml:space="preserve"> components of the system.</t>
    </r>
  </si>
  <si>
    <t>Not Complete</t>
  </si>
  <si>
    <t xml:space="preserve">2. Intended signal period is the same for all indicators. </t>
  </si>
  <si>
    <r>
      <rPr>
        <rFont val="Arial"/>
        <b val="0"/>
      </rPr>
      <t>3.</t>
    </r>
    <r>
      <rPr>
        <rFont val="Arial"/>
        <b/>
      </rPr>
      <t xml:space="preserve"> Submission includes BOTH intended signal period, and a time coherency summary </t>
    </r>
    <r>
      <rPr>
        <rFont val="Arial"/>
        <b/>
        <color rgb="FFFF0000"/>
      </rPr>
      <t>(from 2018 until today)</t>
    </r>
    <r>
      <rPr>
        <rFont val="Arial"/>
        <b/>
      </rPr>
      <t>.</t>
    </r>
  </si>
  <si>
    <t xml:space="preserve"> PAGE 1: BALANCES</t>
  </si>
  <si>
    <t xml:space="preserve">4. Formulas and balances are correct, weighted correctly, and are automated. </t>
  </si>
  <si>
    <t>This strategy helps you answer 4 questions:</t>
  </si>
  <si>
    <t>PAGE 2: TOTALES</t>
  </si>
  <si>
    <t>⬅</t>
  </si>
  <si>
    <t>What is the direction of the overall market? LONG 
or NOT-LONG ~~~ This is a LONG-ONLY 
strategy for simplicity</t>
  </si>
  <si>
    <r>
      <rPr>
        <rFont val="Arial"/>
      </rPr>
      <t xml:space="preserve">5. Your system </t>
    </r>
    <r>
      <rPr>
        <rFont val="Arial"/>
        <b/>
        <color rgb="FFFF0000"/>
      </rPr>
      <t>TPI-based</t>
    </r>
    <r>
      <rPr>
        <rFont val="Arial"/>
      </rPr>
      <t xml:space="preserve"> entry and exit criteria is </t>
    </r>
    <r>
      <rPr>
        <rFont val="Arial"/>
        <b/>
      </rPr>
      <t xml:space="preserve">CLEARLY </t>
    </r>
    <r>
      <rPr>
        <rFont val="Arial"/>
      </rPr>
      <t xml:space="preserve">defined, and your approved TPI from level 2 is included. </t>
    </r>
  </si>
  <si>
    <t>PAGE 3: CONSERVATIVE TREND TPI'S</t>
  </si>
  <si>
    <t>For the conservative portfolio, how much of 
each major should we hold?</t>
  </si>
  <si>
    <t>6. All indicators are time coherent, and sufficiently match time coherency template.</t>
  </si>
  <si>
    <r>
      <rPr>
        <rFont val="Arial"/>
      </rPr>
      <t xml:space="preserve">7. Analysis performed from </t>
    </r>
    <r>
      <rPr>
        <rFont val="Arial"/>
        <b/>
      </rPr>
      <t xml:space="preserve">2018 </t>
    </r>
    <r>
      <rPr>
        <rFont val="Arial"/>
      </rPr>
      <t xml:space="preserve">onwards. </t>
    </r>
  </si>
  <si>
    <r>
      <rPr>
        <rFont val="Arial"/>
      </rPr>
      <t xml:space="preserve">8. All signals from indicators are included on each time coherency summary  </t>
    </r>
    <r>
      <rPr>
        <rFont val="Arial"/>
        <b/>
        <color rgb="FFFF0000"/>
      </rPr>
      <t>(from 2018 until today)</t>
    </r>
    <r>
      <rPr>
        <rFont val="Arial"/>
      </rPr>
      <t>.</t>
    </r>
  </si>
  <si>
    <r>
      <rPr>
        <rFont val="Arial"/>
      </rPr>
      <t xml:space="preserve">9. Screen shots of each indicator are included, and their signals match the time coherency summary </t>
    </r>
    <r>
      <rPr>
        <rFont val="Arial"/>
        <b/>
        <color rgb="FFFF0000"/>
      </rPr>
      <t>(from 2018 until today)</t>
    </r>
    <r>
      <rPr>
        <rFont val="Arial"/>
      </rPr>
      <t>.</t>
    </r>
  </si>
  <si>
    <t>PAGE 4: OTHERS.D MINI TPI</t>
  </si>
  <si>
    <t>How much of the overall portfolio should be placed 
in smallcap trash?</t>
  </si>
  <si>
    <t>10. All indicators are time coherent, and sufficiently match time coherency template.</t>
  </si>
  <si>
    <r>
      <rPr>
        <rFont val="Arial"/>
      </rPr>
      <t xml:space="preserve">11. Analysis performed from </t>
    </r>
    <r>
      <rPr>
        <rFont val="Arial"/>
        <b/>
      </rPr>
      <t xml:space="preserve">2018 </t>
    </r>
    <r>
      <rPr>
        <rFont val="Arial"/>
      </rPr>
      <t xml:space="preserve">onwards. </t>
    </r>
  </si>
  <si>
    <r>
      <rPr>
        <rFont val="Arial"/>
      </rPr>
      <t xml:space="preserve">12. Screen shots of each indicator are included, and their signals match the time coherency summary </t>
    </r>
    <r>
      <rPr>
        <rFont val="Arial"/>
        <b/>
        <color rgb="FFFF0000"/>
      </rPr>
      <t>(from 2018 until today)</t>
    </r>
    <r>
      <rPr>
        <rFont val="Arial"/>
      </rPr>
      <t>.</t>
    </r>
  </si>
  <si>
    <r>
      <rPr>
        <rFont val="Arial"/>
      </rPr>
      <t xml:space="preserve">13. All signals from indicators are included on the time coherency summary </t>
    </r>
    <r>
      <rPr>
        <rFont val="Arial"/>
        <b/>
        <color rgb="FFFF0000"/>
      </rPr>
      <t>(from 2018 until today)</t>
    </r>
    <r>
      <rPr>
        <rFont val="Arial"/>
      </rPr>
      <t>.</t>
    </r>
  </si>
  <si>
    <t>14. Maximum 20% allocation to trash as per guidelines.</t>
  </si>
  <si>
    <t>PAGE 5: TRASH TABLE</t>
  </si>
  <si>
    <t>For the allocated amount placed in trash, which 
tokens do we pick to allocate?</t>
  </si>
  <si>
    <r>
      <rPr>
        <rFont val="Arial"/>
      </rPr>
      <t xml:space="preserve">15. Trash allocations are </t>
    </r>
    <r>
      <rPr>
        <rFont val="Arial"/>
        <b/>
      </rPr>
      <t xml:space="preserve">EQUALLY </t>
    </r>
    <r>
      <rPr>
        <rFont val="Arial"/>
      </rPr>
      <t xml:space="preserve">weighted. </t>
    </r>
  </si>
  <si>
    <r>
      <rPr>
        <rFont val="Arial"/>
      </rPr>
      <t xml:space="preserve">16. Formulas for beta scores and market cap scores are </t>
    </r>
    <r>
      <rPr>
        <rFont val="Arial"/>
        <b/>
      </rPr>
      <t>AUTOMATED.</t>
    </r>
  </si>
  <si>
    <r>
      <rPr>
        <rFont val="Arial"/>
      </rPr>
      <t xml:space="preserve">17. </t>
    </r>
    <r>
      <rPr>
        <rFont val="Arial"/>
        <b/>
      </rPr>
      <t>MINIMUM</t>
    </r>
    <r>
      <rPr>
        <rFont val="Arial"/>
      </rPr>
      <t xml:space="preserve"> </t>
    </r>
    <r>
      <rPr>
        <rFont val="Arial"/>
        <b/>
      </rPr>
      <t xml:space="preserve">5 </t>
    </r>
    <r>
      <rPr>
        <rFont val="Arial"/>
        <color rgb="FFFF0000"/>
      </rPr>
      <t xml:space="preserve">UNIQUE </t>
    </r>
    <r>
      <rPr>
        <rFont val="Arial"/>
      </rPr>
      <t xml:space="preserve">filters/criteria included in </t>
    </r>
    <r>
      <rPr>
        <rFont val="Arial"/>
        <b/>
      </rPr>
      <t xml:space="preserve">ALTS </t>
    </r>
    <r>
      <rPr>
        <rFont val="Arial"/>
      </rPr>
      <t xml:space="preserve">table. </t>
    </r>
  </si>
  <si>
    <r>
      <rPr>
        <rFont val="Arial"/>
      </rPr>
      <t>18.</t>
    </r>
    <r>
      <rPr>
        <rFont val="Arial"/>
        <b/>
      </rPr>
      <t xml:space="preserve"> MINIMUM 15 </t>
    </r>
    <r>
      <rPr>
        <rFont val="Arial"/>
      </rPr>
      <t xml:space="preserve">tokens are included for analysis. </t>
    </r>
  </si>
  <si>
    <t>19. No sharpe ratios, omega or sortino ratios used as criteria.</t>
  </si>
  <si>
    <t>20. No ATH metrics are used as criteria</t>
  </si>
  <si>
    <t>21. Indicators used in trash table are appropritate, name metioned and inputs defined.</t>
  </si>
  <si>
    <t>22. An indicator link is provided in the table header for each filter</t>
  </si>
  <si>
    <t>MAIN BALANCES</t>
  </si>
  <si>
    <t>Include Solana:</t>
  </si>
  <si>
    <t>No</t>
  </si>
  <si>
    <t>&lt;&lt;</t>
  </si>
  <si>
    <t xml:space="preserve">These cells MUST have a value for the sheet to work properly. </t>
  </si>
  <si>
    <t>Allocation Preference:</t>
  </si>
  <si>
    <t>80 / 20</t>
  </si>
  <si>
    <t>Total Capital:</t>
  </si>
  <si>
    <t>Portfolio Ratios</t>
  </si>
  <si>
    <t>Implied Allocation</t>
  </si>
  <si>
    <t>Conservative</t>
  </si>
  <si>
    <t>Trash</t>
  </si>
  <si>
    <t>Conservative Portfolio</t>
  </si>
  <si>
    <t>Current Allocation?</t>
  </si>
  <si>
    <t>Rebalance Required</t>
  </si>
  <si>
    <t>ETH</t>
  </si>
  <si>
    <t>BTC</t>
  </si>
  <si>
    <t>SOL</t>
  </si>
  <si>
    <t>Trash Portfolio</t>
  </si>
  <si>
    <t>Whole Market Trend #TPI</t>
  </si>
  <si>
    <t>Is the market actualy going up?</t>
  </si>
  <si>
    <r>
      <rPr>
        <rFont val="Arial"/>
      </rPr>
      <t xml:space="preserve">Trend analysis performed on data series </t>
    </r>
    <r>
      <rPr>
        <rFont val="Arial"/>
        <b/>
      </rPr>
      <t>CRYPTOCAP:TOTALES</t>
    </r>
  </si>
  <si>
    <t>Include your L2 approved MTPI</t>
  </si>
  <si>
    <r>
      <rPr>
        <rFont val="Arial"/>
      </rPr>
      <t xml:space="preserve">Include your </t>
    </r>
    <r>
      <rPr>
        <rFont val="Arial"/>
        <color rgb="FFFF0000"/>
      </rPr>
      <t>TPI-based</t>
    </r>
    <r>
      <rPr>
        <rFont val="Arial"/>
      </rPr>
      <t xml:space="preserve"> entry and exit criteria</t>
    </r>
  </si>
  <si>
    <t>Category</t>
  </si>
  <si>
    <t>Indicator</t>
  </si>
  <si>
    <t>Timeframe</t>
  </si>
  <si>
    <t>Inputs</t>
  </si>
  <si>
    <t>Score</t>
  </si>
  <si>
    <t>Result</t>
  </si>
  <si>
    <t>Average</t>
  </si>
  <si>
    <t>Entry Criteria:</t>
  </si>
  <si>
    <t>Exit Criteria:</t>
  </si>
  <si>
    <t>Ratio of ETH to BTC to SOL in conservative?</t>
  </si>
  <si>
    <t>This is the probability of which major (ETH, BTC or SOL) is going to outperform the other.</t>
  </si>
  <si>
    <r>
      <rPr>
        <rFont val="Arial"/>
        <sz val="9.0"/>
      </rPr>
      <t xml:space="preserve">Trend analysis performed on data series </t>
    </r>
    <r>
      <rPr>
        <rFont val="Arial"/>
        <b/>
        <sz val="9.0"/>
      </rPr>
      <t>ETHBTC</t>
    </r>
    <r>
      <rPr>
        <rFont val="Arial"/>
        <sz val="9.0"/>
      </rPr>
      <t xml:space="preserve"> (Binance is preferable)</t>
    </r>
  </si>
  <si>
    <t>When the Average is &gt;0 on your ETHBTC TPI you’ll hold more ETH.</t>
  </si>
  <si>
    <t>When the Average is &lt;0 on your ETHBTC TPI you’ll hold more BTC.</t>
  </si>
  <si>
    <t>Recommended to use 80/20 allocation. With this the portfolio will hold both assets, but with this method you will allocate a greater proportion of the bullish one.</t>
  </si>
  <si>
    <t>ETHBTC TPI</t>
  </si>
  <si>
    <t>Preferences</t>
  </si>
  <si>
    <t>Asset Ranks</t>
  </si>
  <si>
    <t>Dominant Major</t>
  </si>
  <si>
    <t>1 or -1</t>
  </si>
  <si>
    <t>TImeframe</t>
  </si>
  <si>
    <t>SOL?</t>
  </si>
  <si>
    <t>Perpetual</t>
  </si>
  <si>
    <t>Indicator 1</t>
  </si>
  <si>
    <t>STYLE %</t>
  </si>
  <si>
    <t>Oscillator</t>
  </si>
  <si>
    <t>Indicator 2</t>
  </si>
  <si>
    <t>RISK</t>
  </si>
  <si>
    <t>Indicator 3</t>
  </si>
  <si>
    <t>Indicator 4</t>
  </si>
  <si>
    <t>^</t>
  </si>
  <si>
    <t>Indicator 5</t>
  </si>
  <si>
    <t>DO NOT CHANGE ANY FORMULAS HERE, THEY ARE ALL AUTOMATED!</t>
  </si>
  <si>
    <t>SOLETH TPI</t>
  </si>
  <si>
    <t>SOLBTC TPI</t>
  </si>
  <si>
    <t>Ratio of Conservative to Trash?</t>
  </si>
  <si>
    <t>This is the probability of trash outperforming Majors.</t>
  </si>
  <si>
    <r>
      <rPr>
        <rFont val="Arial"/>
      </rPr>
      <t xml:space="preserve">Trend analysis performed on data series </t>
    </r>
    <r>
      <rPr>
        <rFont val="Arial"/>
        <b/>
      </rPr>
      <t>(OTHERS.D)</t>
    </r>
  </si>
  <si>
    <t>a.k.a "The Trash Index"</t>
  </si>
  <si>
    <t>OTHERS.D TPI</t>
  </si>
  <si>
    <t>1 or 0</t>
  </si>
  <si>
    <t>Trend</t>
  </si>
  <si>
    <t>Max to TRASH?</t>
  </si>
  <si>
    <t xml:space="preserve">Strength </t>
  </si>
  <si>
    <t>Portfolio % to allocate</t>
  </si>
  <si>
    <t>Which tokens do we pick for our portfolio?</t>
  </si>
  <si>
    <t xml:space="preserve">Pick your tokens and filter them though the selection table to see if they are qualified </t>
  </si>
  <si>
    <t>Base' token can be changed to suit preferences. It is recommended to use the outperforming base token in 2 - Conservative Trend</t>
  </si>
  <si>
    <r>
      <rPr>
        <rFont val="Arial"/>
      </rPr>
      <t xml:space="preserve">Use </t>
    </r>
    <r>
      <rPr>
        <rFont val="Arial"/>
        <b/>
      </rPr>
      <t>at least 5 UNIQUE relative strength filters</t>
    </r>
    <r>
      <rPr>
        <rFont val="Arial"/>
      </rPr>
      <t xml:space="preserve"> </t>
    </r>
    <r>
      <rPr>
        <rFont val="Arial"/>
        <i/>
      </rPr>
      <t xml:space="preserve">(For example: Token/USD 1D and Token/BTC 1D are both unique filters; Token/BTC 1D and Token/BTC 2D are </t>
    </r>
    <r>
      <rPr>
        <rFont val="Arial"/>
        <b/>
        <i/>
      </rPr>
      <t>NOT</t>
    </r>
    <r>
      <rPr>
        <rFont val="Arial"/>
        <i/>
      </rPr>
      <t xml:space="preserve"> unique filters -&gt; will count as 1 unique filter)</t>
    </r>
  </si>
  <si>
    <t>Rename the "FILTER X" cells to appropriately represent the relative strength filter you have chosen to use</t>
  </si>
  <si>
    <r>
      <rPr>
        <rFont val="Arial"/>
        <b/>
        <color rgb="FFFF0000"/>
      </rPr>
      <t xml:space="preserve">Please put the indicator </t>
    </r>
    <r>
      <rPr>
        <rFont val="Arial"/>
        <b/>
        <color rgb="FFFF0000"/>
      </rPr>
      <t xml:space="preserve">link </t>
    </r>
    <r>
      <rPr>
        <rFont val="Arial"/>
        <b/>
        <color rgb="FFFF0000"/>
      </rPr>
      <t>used for each filter in the header row.</t>
    </r>
  </si>
  <si>
    <t>TICKER</t>
  </si>
  <si>
    <t>FILTER 1</t>
  </si>
  <si>
    <t>FILTER 2</t>
  </si>
  <si>
    <t>FILTER 3</t>
  </si>
  <si>
    <t>FILTER 4</t>
  </si>
  <si>
    <t>FILTER 5</t>
  </si>
  <si>
    <t>SCORE</t>
  </si>
  <si>
    <t>Threshold Score</t>
  </si>
  <si>
    <t>Allocate to tokens 
with a score above
⬅</t>
  </si>
  <si>
    <t>TOKEN A</t>
  </si>
  <si>
    <t>TOKEN B</t>
  </si>
  <si>
    <t>TOKEN C</t>
  </si>
  <si>
    <t>TOKEN D</t>
  </si>
  <si>
    <t>TOKEN E</t>
  </si>
  <si>
    <t>TOKEN F</t>
  </si>
  <si>
    <t>TOKEN G</t>
  </si>
  <si>
    <t>Please add any additional notes for the submission directly in this sheet under the appropriate category. Do not include any separate documents for the grader—keep all notes within this sheet.</t>
  </si>
  <si>
    <t xml:space="preserve"> PAGE 2: TOTALES</t>
  </si>
  <si>
    <t>PAGE 3: CONSERVATIVE TREND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</si>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</sst>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0.000"/>
    <numFmt numFmtId="167" formatCode="0.0"/>
  </numFmts>
  <fonts count="32">
    <font>
      <sz val="10.0"/>
      <color rgb="FF000000"/>
      <name val="Arial"/>
      <scheme val="minor"/>
    </font>
    <font>
      <name val="Arial"/>
    </font>
    <font/>
    <font>
      <b/>
      <sz val="16.0"/>
      <color rgb="FFFFFFFF"/>
      <name val="Arial"/>
    </font>
    <font>
      <i/>
      <sz val="13.0"/>
      <name val="Lobster"/>
    </font>
    <font>
      <sz val="16.0"/>
      <name val="Lobster"/>
    </font>
    <font>
      <b/>
      <sz val="12.0"/>
      <color rgb="FFFFFFFF"/>
      <name val="Arial"/>
    </font>
    <font>
      <b/>
      <name val="Arial"/>
    </font>
    <font>
      <b/>
      <color rgb="FFFFCFC9"/>
      <name val="Comfortaa"/>
    </font>
    <font>
      <b/>
      <sz val="14.0"/>
      <name val="Montserrat"/>
    </font>
    <font>
      <sz val="22.0"/>
      <name val="Montserrat"/>
    </font>
    <font>
      <sz val="14.0"/>
      <name val="Montserrat"/>
    </font>
    <font>
      <sz val="12.0"/>
      <name val="Arial"/>
    </font>
    <font>
      <color rgb="FF11734B"/>
      <name val="Arial"/>
    </font>
    <font>
      <color rgb="FFFF9900"/>
      <name val="Arial"/>
    </font>
    <font>
      <color rgb="FFB7B7B7"/>
      <name val="Arial"/>
    </font>
    <font>
      <b/>
      <sz val="13.0"/>
      <name val="Arial"/>
    </font>
    <font>
      <b/>
      <sz val="11.0"/>
      <name val="Arial"/>
    </font>
    <font>
      <b/>
      <i/>
      <sz val="12.0"/>
      <color rgb="FFFF9900"/>
      <name val="Arial"/>
    </font>
    <font>
      <b/>
      <color rgb="FFFF0000"/>
      <name val="Arial"/>
    </font>
    <font>
      <b/>
      <sz val="12.0"/>
      <name val="Arial"/>
    </font>
    <font>
      <sz val="9.0"/>
      <name val="Arial"/>
    </font>
    <font>
      <b/>
      <sz val="9.0"/>
      <name val="Arial"/>
    </font>
    <font>
      <i/>
      <sz val="9.0"/>
      <color rgb="FF666666"/>
      <name val="Arial"/>
    </font>
    <font>
      <b/>
      <color rgb="FFFF9900"/>
      <name val="Arial"/>
    </font>
    <font>
      <b/>
      <sz val="9.0"/>
      <color rgb="FFFF9900"/>
      <name val="Arial"/>
    </font>
    <font>
      <b/>
      <color rgb="FF57BB8A"/>
      <name val="Arial"/>
    </font>
    <font>
      <b/>
      <i/>
      <sz val="9.0"/>
      <color rgb="FFFF9900"/>
      <name val="Arial"/>
    </font>
    <font>
      <i/>
      <sz val="9.0"/>
      <name val="Arial"/>
    </font>
    <font>
      <b/>
      <i/>
      <sz val="9.0"/>
      <name val="Arial"/>
    </font>
    <font>
      <b/>
      <i/>
      <sz val="9.0"/>
      <color rgb="FF999999"/>
      <name val="Arial"/>
    </font>
    <font>
      <b/>
      <sz val="13.0"/>
      <color rgb="FFFF99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10202"/>
        <bgColor rgb="FFB10202"/>
      </patternFill>
    </fill>
    <fill>
      <patternFill patternType="solid">
        <fgColor rgb="FFFFFFFF"/>
        <bgColor rgb="FFFFFFFF"/>
      </patternFill>
    </fill>
    <fill>
      <patternFill patternType="solid">
        <fgColor rgb="FFD4EDBC"/>
        <bgColor rgb="FFD4EDB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</fills>
  <borders count="3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right style="double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Border="1" applyFont="1"/>
    <xf borderId="10" fillId="2" fontId="1" numFmtId="0" xfId="0" applyBorder="1" applyFill="1" applyFont="1"/>
    <xf borderId="11" fillId="2" fontId="1" numFmtId="0" xfId="0" applyBorder="1" applyFont="1"/>
    <xf borderId="12" fillId="2" fontId="1" numFmtId="0" xfId="0" applyBorder="1" applyFont="1"/>
    <xf borderId="13" fillId="2" fontId="1" numFmtId="0" xfId="0" applyBorder="1" applyFont="1"/>
    <xf borderId="11" fillId="3" fontId="3" numFmtId="0" xfId="0" applyAlignment="1" applyBorder="1" applyFill="1" applyFont="1">
      <alignment horizontal="center"/>
    </xf>
    <xf borderId="11" fillId="0" fontId="2" numFmtId="0" xfId="0" applyBorder="1" applyFont="1"/>
    <xf borderId="14" fillId="0" fontId="2" numFmtId="0" xfId="0" applyBorder="1" applyFont="1"/>
    <xf borderId="5" fillId="0" fontId="1" numFmtId="0" xfId="0" applyBorder="1" applyFont="1"/>
    <xf borderId="7" fillId="0" fontId="4" numFmtId="0" xfId="0" applyAlignment="1" applyBorder="1" applyFont="1">
      <alignment horizontal="center"/>
    </xf>
    <xf borderId="7" fillId="0" fontId="2" numFmtId="0" xfId="0" applyBorder="1" applyFont="1"/>
    <xf borderId="7" fillId="4" fontId="5" numFmtId="0" xfId="0" applyAlignment="1" applyBorder="1" applyFill="1" applyFont="1">
      <alignment horizontal="center"/>
    </xf>
    <xf borderId="8" fillId="0" fontId="2" numFmtId="0" xfId="0" applyBorder="1" applyFont="1"/>
    <xf borderId="0" fillId="2" fontId="1" numFmtId="0" xfId="0" applyFont="1"/>
    <xf borderId="11" fillId="3" fontId="6" numFmtId="0" xfId="0" applyAlignment="1" applyBorder="1" applyFont="1">
      <alignment horizontal="center"/>
    </xf>
    <xf borderId="15" fillId="2" fontId="1" numFmtId="0" xfId="0" applyBorder="1" applyFont="1"/>
    <xf borderId="14" fillId="5" fontId="7" numFmtId="0" xfId="0" applyAlignment="1" applyBorder="1" applyFill="1" applyFont="1">
      <alignment horizontal="center"/>
    </xf>
    <xf borderId="0" fillId="6" fontId="1" numFmtId="0" xfId="0" applyAlignment="1" applyFill="1" applyFont="1">
      <alignment horizontal="center"/>
    </xf>
    <xf borderId="15" fillId="0" fontId="2" numFmtId="0" xfId="0" applyBorder="1" applyFont="1"/>
    <xf borderId="15" fillId="7" fontId="8" numFmtId="0" xfId="0" applyAlignment="1" applyBorder="1" applyFill="1" applyFont="1">
      <alignment horizontal="center"/>
    </xf>
    <xf borderId="11" fillId="6" fontId="7" numFmtId="0" xfId="0" applyAlignment="1" applyBorder="1" applyFont="1">
      <alignment horizontal="center" shrinkToFit="0" wrapText="1"/>
    </xf>
    <xf borderId="14" fillId="7" fontId="8" numFmtId="0" xfId="0" applyAlignment="1" applyBorder="1" applyFont="1">
      <alignment horizontal="center"/>
    </xf>
    <xf borderId="14" fillId="2" fontId="1" numFmtId="0" xfId="0" applyBorder="1" applyFont="1"/>
    <xf borderId="11" fillId="6" fontId="1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top"/>
    </xf>
    <xf borderId="0" fillId="0" fontId="9" numFmtId="0" xfId="0" applyAlignment="1" applyFont="1">
      <alignment horizontal="center" vertical="bottom"/>
    </xf>
    <xf borderId="0" fillId="0" fontId="11" numFmtId="0" xfId="0" applyFont="1"/>
    <xf borderId="11" fillId="6" fontId="1" numFmtId="0" xfId="0" applyAlignment="1" applyBorder="1" applyFont="1">
      <alignment horizontal="center" shrinkToFit="0" wrapText="1"/>
    </xf>
    <xf borderId="0" fillId="6" fontId="1" numFmtId="0" xfId="0" applyAlignment="1" applyFont="1">
      <alignment horizontal="center" shrinkToFit="0" wrapText="1"/>
    </xf>
    <xf borderId="16" fillId="2" fontId="1" numFmtId="0" xfId="0" applyBorder="1" applyFont="1"/>
    <xf borderId="17" fillId="2" fontId="1" numFmtId="0" xfId="0" applyBorder="1" applyFont="1"/>
    <xf borderId="0" fillId="8" fontId="1" numFmtId="0" xfId="0" applyFill="1" applyFont="1"/>
    <xf borderId="0" fillId="0" fontId="12" numFmtId="0" xfId="0" applyAlignment="1" applyFont="1">
      <alignment vertical="bottom"/>
    </xf>
    <xf borderId="18" fillId="0" fontId="1" numFmtId="0" xfId="0" applyAlignment="1" applyBorder="1" applyFont="1">
      <alignment vertical="bottom"/>
    </xf>
    <xf borderId="0" fillId="9" fontId="13" numFmtId="0" xfId="0" applyAlignment="1" applyFill="1" applyFont="1">
      <alignment horizontal="center" vertical="bottom"/>
    </xf>
    <xf borderId="19" fillId="0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shrinkToFit="0" wrapText="1"/>
    </xf>
    <xf borderId="19" fillId="0" fontId="2" numFmtId="0" xfId="0" applyBorder="1" applyFont="1"/>
    <xf borderId="18" fillId="0" fontId="2" numFmtId="0" xfId="0" applyBorder="1" applyFont="1"/>
    <xf borderId="20" fillId="0" fontId="2" numFmtId="0" xfId="0" applyBorder="1" applyFont="1"/>
    <xf borderId="0" fillId="10" fontId="1" numFmtId="164" xfId="0" applyAlignment="1" applyFill="1" applyFont="1" applyNumberFormat="1">
      <alignment horizontal="right" vertical="bottom"/>
    </xf>
    <xf borderId="21" fillId="0" fontId="1" numFmtId="0" xfId="0" applyAlignment="1" applyBorder="1" applyFont="1">
      <alignment horizontal="center"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2" fillId="11" fontId="1" numFmtId="0" xfId="0" applyAlignment="1" applyBorder="1" applyFill="1" applyFont="1">
      <alignment vertical="bottom"/>
    </xf>
    <xf borderId="20" fillId="0" fontId="14" numFmtId="9" xfId="0" applyAlignment="1" applyBorder="1" applyFont="1" applyNumberFormat="1">
      <alignment horizontal="right" vertical="bottom"/>
    </xf>
    <xf borderId="20" fillId="0" fontId="14" numFmtId="165" xfId="0" applyAlignment="1" applyBorder="1" applyFont="1" applyNumberFormat="1">
      <alignment horizontal="right" vertical="bottom"/>
    </xf>
    <xf borderId="22" fillId="12" fontId="1" numFmtId="0" xfId="0" applyAlignment="1" applyBorder="1" applyFill="1" applyFont="1">
      <alignment vertical="bottom"/>
    </xf>
    <xf borderId="18" fillId="0" fontId="1" numFmtId="165" xfId="0" applyAlignment="1" applyBorder="1" applyFont="1" applyNumberFormat="1">
      <alignment vertical="bottom"/>
    </xf>
    <xf borderId="21" fillId="11" fontId="1" numFmtId="0" xfId="0" applyAlignment="1" applyBorder="1" applyFont="1">
      <alignment horizontal="center" vertical="bottom"/>
    </xf>
    <xf borderId="20" fillId="0" fontId="1" numFmtId="165" xfId="0" applyAlignment="1" applyBorder="1" applyFont="1" applyNumberFormat="1">
      <alignment horizontal="center" vertical="bottom"/>
    </xf>
    <xf borderId="20" fillId="0" fontId="1" numFmtId="0" xfId="0" applyAlignment="1" applyBorder="1" applyFont="1">
      <alignment horizontal="center" vertical="bottom"/>
    </xf>
    <xf borderId="22" fillId="0" fontId="1" numFmtId="0" xfId="0" applyAlignment="1" applyBorder="1" applyFont="1">
      <alignment vertical="bottom"/>
    </xf>
    <xf borderId="20" fillId="10" fontId="1" numFmtId="165" xfId="0" applyAlignment="1" applyBorder="1" applyFont="1" applyNumberFormat="1">
      <alignment horizontal="right" vertical="bottom"/>
    </xf>
    <xf borderId="22" fillId="13" fontId="15" numFmtId="0" xfId="0" applyAlignment="1" applyBorder="1" applyFill="1" applyFont="1">
      <alignment vertical="bottom"/>
    </xf>
    <xf borderId="20" fillId="13" fontId="15" numFmtId="9" xfId="0" applyAlignment="1" applyBorder="1" applyFont="1" applyNumberFormat="1">
      <alignment horizontal="right" vertical="bottom"/>
    </xf>
    <xf borderId="20" fillId="13" fontId="15" numFmtId="165" xfId="0" applyAlignment="1" applyBorder="1" applyFont="1" applyNumberFormat="1">
      <alignment horizontal="right" vertical="bottom"/>
    </xf>
    <xf borderId="21" fillId="12" fontId="1" numFmtId="0" xfId="0" applyAlignment="1" applyBorder="1" applyFont="1">
      <alignment horizontal="center" vertical="bottom"/>
    </xf>
    <xf borderId="20" fillId="0" fontId="14" numFmtId="10" xfId="0" applyAlignment="1" applyBorder="1" applyFont="1" applyNumberFormat="1">
      <alignment horizontal="right" vertical="bottom"/>
    </xf>
    <xf borderId="20" fillId="0" fontId="1" numFmtId="10" xfId="0" applyAlignment="1" applyBorder="1" applyFont="1" applyNumberFormat="1">
      <alignment vertical="bottom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1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1" fillId="0" fontId="16" numFmtId="0" xfId="0" applyAlignment="1" applyBorder="1" applyFont="1">
      <alignment horizontal="center"/>
    </xf>
    <xf borderId="11" fillId="0" fontId="16" numFmtId="0" xfId="0" applyAlignment="1" applyBorder="1" applyFont="1">
      <alignment horizontal="center" vertical="bottom"/>
    </xf>
    <xf borderId="23" fillId="0" fontId="16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vertical="bottom"/>
    </xf>
    <xf borderId="20" fillId="0" fontId="1" numFmtId="1" xfId="0" applyAlignment="1" applyBorder="1" applyFont="1" applyNumberFormat="1">
      <alignment vertical="bottom"/>
    </xf>
    <xf borderId="20" fillId="10" fontId="7" numFmtId="1" xfId="0" applyAlignment="1" applyBorder="1" applyFont="1" applyNumberFormat="1">
      <alignment horizontal="center" vertical="bottom"/>
    </xf>
    <xf borderId="24" fillId="14" fontId="7" numFmtId="0" xfId="0" applyAlignment="1" applyBorder="1" applyFill="1" applyFont="1">
      <alignment horizontal="center" vertical="bottom"/>
    </xf>
    <xf borderId="24" fillId="15" fontId="7" numFmtId="0" xfId="0" applyAlignment="1" applyBorder="1" applyFill="1" applyFont="1">
      <alignment horizontal="center" vertical="bottom"/>
    </xf>
    <xf borderId="20" fillId="0" fontId="1" numFmtId="2" xfId="0" applyAlignment="1" applyBorder="1" applyFont="1" applyNumberFormat="1">
      <alignment vertical="bottom"/>
    </xf>
    <xf borderId="23" fillId="0" fontId="1" numFmtId="0" xfId="0" applyAlignment="1" applyBorder="1" applyFont="1">
      <alignment vertical="bottom"/>
    </xf>
    <xf borderId="23" fillId="10" fontId="7" numFmtId="1" xfId="0" applyAlignment="1" applyBorder="1" applyFont="1" applyNumberFormat="1">
      <alignment horizontal="center" vertical="bottom"/>
    </xf>
    <xf borderId="14" fillId="14" fontId="7" numFmtId="0" xfId="0" applyAlignment="1" applyBorder="1" applyFont="1">
      <alignment horizontal="center" vertical="bottom"/>
    </xf>
    <xf borderId="7" fillId="0" fontId="17" numFmtId="0" xfId="0" applyAlignment="1" applyBorder="1" applyFont="1">
      <alignment vertical="bottom"/>
    </xf>
    <xf borderId="8" fillId="0" fontId="18" numFmtId="2" xfId="0" applyAlignment="1" applyBorder="1" applyFont="1" applyNumberFormat="1">
      <alignment horizontal="center"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7" fillId="0" fontId="22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9" fillId="0" fontId="1" numFmtId="166" xfId="0" applyAlignment="1" applyBorder="1" applyFont="1" applyNumberFormat="1">
      <alignment vertical="bottom"/>
    </xf>
    <xf borderId="9" fillId="0" fontId="23" numFmtId="0" xfId="0" applyAlignment="1" applyBorder="1" applyFont="1">
      <alignment horizontal="center" vertical="bottom"/>
    </xf>
    <xf borderId="12" fillId="0" fontId="1" numFmtId="0" xfId="0" applyAlignment="1" applyBorder="1" applyFont="1">
      <alignment vertical="bottom"/>
    </xf>
    <xf borderId="9" fillId="0" fontId="22" numFmtId="166" xfId="0" applyAlignment="1" applyBorder="1" applyFont="1" applyNumberFormat="1">
      <alignment horizontal="center" vertical="bottom"/>
    </xf>
    <xf borderId="9" fillId="0" fontId="22" numFmtId="0" xfId="0" applyAlignment="1" applyBorder="1" applyFont="1">
      <alignment horizontal="center" vertical="bottom"/>
    </xf>
    <xf borderId="25" fillId="0" fontId="22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5" fillId="0" fontId="24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26" fillId="0" fontId="24" numFmtId="0" xfId="0" applyAlignment="1" applyBorder="1" applyFont="1">
      <alignment horizontal="center" vertical="bottom"/>
    </xf>
    <xf borderId="18" fillId="0" fontId="22" numFmtId="0" xfId="0" applyAlignment="1" applyBorder="1" applyFont="1">
      <alignment horizontal="center" vertical="bottom"/>
    </xf>
    <xf borderId="26" fillId="0" fontId="25" numFmtId="9" xfId="0" applyAlignment="1" applyBorder="1" applyFont="1" applyNumberFormat="1">
      <alignment horizontal="center" vertical="bottom"/>
    </xf>
    <xf borderId="20" fillId="0" fontId="22" numFmtId="0" xfId="0" applyAlignment="1" applyBorder="1" applyFont="1">
      <alignment vertical="bottom"/>
    </xf>
    <xf borderId="20" fillId="0" fontId="22" numFmtId="1" xfId="0" applyAlignment="1" applyBorder="1" applyFont="1" applyNumberFormat="1">
      <alignment horizontal="center" vertical="bottom"/>
    </xf>
    <xf borderId="27" fillId="0" fontId="22" numFmtId="0" xfId="0" applyAlignment="1" applyBorder="1" applyFont="1">
      <alignment horizontal="center" vertical="bottom"/>
    </xf>
    <xf borderId="7" fillId="0" fontId="7" numFmtId="0" xfId="0" applyAlignment="1" applyBorder="1" applyFont="1">
      <alignment vertical="bottom"/>
    </xf>
    <xf borderId="8" fillId="0" fontId="24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8" fillId="0" fontId="26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8" fillId="0" fontId="22" numFmtId="9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28" fillId="0" fontId="22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28" fillId="0" fontId="22" numFmtId="1" xfId="0" applyAlignment="1" applyBorder="1" applyFont="1" applyNumberFormat="1">
      <alignment horizontal="center" vertical="bottom"/>
    </xf>
    <xf borderId="25" fillId="0" fontId="27" numFmtId="2" xfId="0" applyAlignment="1" applyBorder="1" applyFont="1" applyNumberFormat="1">
      <alignment horizontal="center" vertical="bottom"/>
    </xf>
    <xf borderId="9" fillId="0" fontId="28" numFmtId="0" xfId="0" applyAlignment="1" applyBorder="1" applyFont="1">
      <alignment horizontal="center" vertical="bottom"/>
    </xf>
    <xf borderId="0" fillId="0" fontId="1" numFmtId="9" xfId="0" applyAlignment="1" applyFont="1" applyNumberFormat="1">
      <alignment vertical="bottom"/>
    </xf>
    <xf borderId="25" fillId="0" fontId="29" numFmtId="2" xfId="0" applyAlignment="1" applyBorder="1" applyFont="1" applyNumberFormat="1">
      <alignment horizontal="center" vertical="bottom"/>
    </xf>
    <xf borderId="9" fillId="0" fontId="2" numFmtId="0" xfId="0" applyBorder="1" applyFont="1"/>
    <xf borderId="25" fillId="0" fontId="2" numFmtId="0" xfId="0" applyBorder="1" applyFont="1"/>
    <xf borderId="9" fillId="0" fontId="30" numFmtId="0" xfId="0" applyAlignment="1" applyBorder="1" applyFont="1">
      <alignment horizontal="center" vertical="bottom"/>
    </xf>
    <xf borderId="20" fillId="0" fontId="22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vertical="bottom"/>
    </xf>
    <xf borderId="28" fillId="0" fontId="22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vertical="bottom"/>
    </xf>
    <xf borderId="7" fillId="0" fontId="1" numFmtId="167" xfId="0" applyAlignment="1" applyBorder="1" applyFont="1" applyNumberFormat="1">
      <alignment vertical="bottom"/>
    </xf>
    <xf borderId="7" fillId="0" fontId="21" numFmtId="0" xfId="0" applyAlignment="1" applyBorder="1" applyFont="1">
      <alignment horizontal="right" vertical="bottom"/>
    </xf>
    <xf borderId="8" fillId="0" fontId="25" numFmtId="2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5" fillId="16" fontId="7" numFmtId="9" xfId="0" applyAlignment="1" applyBorder="1" applyFill="1" applyFont="1" applyNumberFormat="1">
      <alignment horizontal="right" vertical="bottom"/>
    </xf>
    <xf borderId="5" fillId="0" fontId="14" numFmtId="167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0" fontId="14" numFmtId="9" xfId="0" applyAlignment="1" applyBorder="1" applyFont="1" applyNumberFormat="1">
      <alignment horizontal="right" vertical="bottom"/>
    </xf>
    <xf quotePrefix="1"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vertical="bottom"/>
    </xf>
    <xf borderId="0" fillId="0" fontId="19" numFmtId="0" xfId="0" applyAlignment="1" applyFont="1">
      <alignment shrinkToFit="0" vertical="bottom" wrapText="0"/>
    </xf>
    <xf borderId="6" fillId="16" fontId="7" numFmtId="0" xfId="0" applyAlignment="1" applyBorder="1" applyFont="1">
      <alignment horizontal="center" vertical="bottom"/>
    </xf>
    <xf borderId="7" fillId="16" fontId="17" numFmtId="3" xfId="0" applyAlignment="1" applyBorder="1" applyFont="1" applyNumberFormat="1">
      <alignment horizontal="center" vertical="bottom"/>
    </xf>
    <xf borderId="8" fillId="16" fontId="7" numFmtId="1" xfId="0" applyAlignment="1" applyBorder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7" fillId="8" fontId="1" numFmtId="0" xfId="0" applyAlignment="1" applyBorder="1" applyFont="1">
      <alignment vertical="bottom"/>
    </xf>
    <xf borderId="7" fillId="0" fontId="1" numFmtId="1" xfId="0" applyAlignment="1" applyBorder="1" applyFont="1" applyNumberFormat="1">
      <alignment vertical="bottom"/>
    </xf>
    <xf borderId="7" fillId="0" fontId="17" numFmtId="0" xfId="0" applyAlignment="1" applyBorder="1" applyFont="1">
      <alignment horizontal="center" vertical="bottom"/>
    </xf>
    <xf borderId="29" fillId="0" fontId="1" numFmtId="0" xfId="0" applyAlignment="1" applyBorder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17" fontId="31" numFmtId="1" xfId="0" applyAlignment="1" applyBorder="1" applyFill="1" applyFont="1" applyNumberFormat="1">
      <alignment horizontal="center" vertical="bottom"/>
    </xf>
    <xf borderId="5" fillId="0" fontId="1" numFmtId="10" xfId="0" applyAlignment="1" applyBorder="1" applyFont="1" applyNumberFormat="1">
      <alignment horizontal="center" vertical="bottom"/>
    </xf>
    <xf borderId="5" fillId="0" fontId="1" numFmtId="10" xfId="0" applyAlignment="1" applyBorder="1" applyFont="1" applyNumberFormat="1">
      <alignment vertical="bottom"/>
    </xf>
    <xf borderId="0" fillId="0" fontId="1" numFmtId="3" xfId="0" applyAlignment="1" applyFont="1" applyNumberFormat="1">
      <alignment vertical="bottom"/>
    </xf>
    <xf borderId="8" fillId="0" fontId="1" numFmtId="10" xfId="0" applyAlignment="1" applyBorder="1" applyFont="1" applyNumberFormat="1">
      <alignment vertical="bottom"/>
    </xf>
    <xf borderId="29" fillId="0" fontId="1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7" fillId="0" fontId="1" numFmtId="3" xfId="0" applyAlignment="1" applyBorder="1" applyFont="1" applyNumberFormat="1">
      <alignment vertical="bottom"/>
    </xf>
    <xf borderId="8" fillId="17" fontId="31" numFmtId="1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31" fillId="3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8"/>
      <c r="C4" s="8"/>
      <c r="D4" s="8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8"/>
      <c r="C5" s="8"/>
      <c r="D5" s="8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1"/>
      <c r="C6" s="11"/>
      <c r="D6" s="11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/>
      <c r="D7" s="13"/>
      <c r="E7" s="13"/>
      <c r="F7" s="13"/>
      <c r="G7" s="13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/>
      <c r="B8" s="15"/>
      <c r="C8" s="15"/>
      <c r="D8" s="15"/>
      <c r="E8" s="15"/>
      <c r="F8" s="15"/>
      <c r="G8" s="15"/>
      <c r="H8" s="16"/>
      <c r="I8" s="4"/>
      <c r="J8" s="4"/>
      <c r="K8" s="11"/>
      <c r="L8" s="11"/>
      <c r="M8" s="11"/>
      <c r="N8" s="1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/>
      <c r="B9" s="18" t="s">
        <v>0</v>
      </c>
      <c r="C9" s="19"/>
      <c r="D9" s="19"/>
      <c r="E9" s="19"/>
      <c r="F9" s="19"/>
      <c r="G9" s="20"/>
      <c r="H9" s="16"/>
      <c r="I9" s="4"/>
      <c r="J9" s="21"/>
      <c r="K9" s="22" t="s">
        <v>1</v>
      </c>
      <c r="L9" s="23"/>
      <c r="M9" s="24" t="str">
        <f>IF(AND(COUNTIF(G12:G14,"Complete")=3, COUNTIF(G17,"Complete")=1, COUNTIF(G20,"Complete")=1, COUNTIF(G23:G26,"Complete")=4, COUNTIF(G29:G33,"Complete")=5, COUNTIF(G36:G43,"Complete")=8), "Ready", "Not Ready")
</f>
        <v>Not Ready</v>
      </c>
      <c r="N9" s="2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/>
      <c r="B10" s="15"/>
      <c r="C10" s="15"/>
      <c r="D10" s="15"/>
      <c r="E10" s="15"/>
      <c r="F10" s="26"/>
      <c r="G10" s="15"/>
      <c r="H10" s="1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/>
      <c r="B11" s="27" t="s">
        <v>2</v>
      </c>
      <c r="C11" s="19"/>
      <c r="D11" s="19"/>
      <c r="E11" s="20"/>
      <c r="F11" s="28"/>
      <c r="G11" s="29" t="s">
        <v>3</v>
      </c>
      <c r="H11" s="16"/>
      <c r="I11" s="4"/>
      <c r="J11" s="4"/>
      <c r="K11" s="8"/>
      <c r="L11" s="8"/>
      <c r="M11" s="8"/>
      <c r="N11" s="8"/>
      <c r="O11" s="8"/>
      <c r="P11" s="8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/>
      <c r="B12" s="30" t="s">
        <v>4</v>
      </c>
      <c r="E12" s="31"/>
      <c r="F12" s="28"/>
      <c r="G12" s="32" t="s">
        <v>5</v>
      </c>
      <c r="H12" s="16"/>
      <c r="I12" s="4"/>
      <c r="J12" s="4"/>
      <c r="K12" s="8"/>
      <c r="L12" s="8"/>
      <c r="M12" s="8"/>
      <c r="N12" s="8"/>
      <c r="O12" s="8"/>
      <c r="P12" s="8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B13" s="30" t="s">
        <v>6</v>
      </c>
      <c r="E13" s="31"/>
      <c r="F13" s="28"/>
      <c r="G13" s="32" t="s">
        <v>5</v>
      </c>
      <c r="H13" s="16"/>
      <c r="I13" s="4"/>
      <c r="J13" s="4"/>
      <c r="K13" s="8"/>
      <c r="L13" s="8"/>
      <c r="M13" s="8"/>
      <c r="N13" s="8"/>
      <c r="O13" s="8"/>
      <c r="P13" s="8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/>
      <c r="B14" s="33" t="s">
        <v>7</v>
      </c>
      <c r="C14" s="19"/>
      <c r="D14" s="19"/>
      <c r="E14" s="20"/>
      <c r="F14" s="28"/>
      <c r="G14" s="34" t="s">
        <v>5</v>
      </c>
      <c r="H14" s="16"/>
      <c r="I14" s="4"/>
      <c r="J14" s="4"/>
      <c r="K14" s="8"/>
      <c r="L14" s="8"/>
      <c r="M14" s="8"/>
      <c r="N14" s="8"/>
      <c r="O14" s="8"/>
      <c r="P14" s="8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/>
      <c r="B15" s="15"/>
      <c r="C15" s="15"/>
      <c r="D15" s="15"/>
      <c r="E15" s="35"/>
      <c r="F15" s="28"/>
      <c r="G15" s="15"/>
      <c r="H15" s="16"/>
      <c r="I15" s="4"/>
      <c r="J15" s="4"/>
      <c r="K15" s="8"/>
      <c r="L15" s="8"/>
      <c r="M15" s="8"/>
      <c r="N15" s="8"/>
      <c r="O15" s="8"/>
      <c r="P15" s="8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27" t="s">
        <v>8</v>
      </c>
      <c r="C16" s="19"/>
      <c r="D16" s="19"/>
      <c r="E16" s="20"/>
      <c r="F16" s="28"/>
      <c r="G16" s="29" t="s">
        <v>3</v>
      </c>
      <c r="H16" s="16"/>
      <c r="I16" s="4"/>
      <c r="J16" s="4"/>
      <c r="K16" s="8"/>
      <c r="L16" s="8"/>
      <c r="M16" s="8"/>
      <c r="N16" s="8"/>
      <c r="O16" s="8"/>
      <c r="P16" s="8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/>
      <c r="B17" s="36" t="s">
        <v>9</v>
      </c>
      <c r="C17" s="19"/>
      <c r="D17" s="19"/>
      <c r="E17" s="20"/>
      <c r="F17" s="28"/>
      <c r="G17" s="34" t="s">
        <v>5</v>
      </c>
      <c r="H17" s="16"/>
      <c r="I17" s="4"/>
      <c r="J17" s="4"/>
      <c r="K17" s="37" t="s">
        <v>10</v>
      </c>
      <c r="P17" s="8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/>
      <c r="B18" s="15"/>
      <c r="C18" s="15"/>
      <c r="D18" s="15"/>
      <c r="E18" s="15"/>
      <c r="F18" s="26"/>
      <c r="G18" s="15"/>
      <c r="H18" s="16"/>
      <c r="I18" s="4"/>
      <c r="J18" s="4"/>
      <c r="K18" s="8"/>
      <c r="L18" s="8"/>
      <c r="M18" s="8"/>
      <c r="N18" s="8"/>
      <c r="O18" s="8"/>
      <c r="P18" s="8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/>
      <c r="B19" s="27" t="s">
        <v>11</v>
      </c>
      <c r="C19" s="19"/>
      <c r="D19" s="19"/>
      <c r="E19" s="20"/>
      <c r="F19" s="28"/>
      <c r="G19" s="29" t="s">
        <v>3</v>
      </c>
      <c r="H19" s="16"/>
      <c r="I19" s="4"/>
      <c r="J19" s="38" t="s">
        <v>12</v>
      </c>
      <c r="K19" s="39">
        <v>1.0</v>
      </c>
      <c r="L19" s="40" t="s">
        <v>13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/>
      <c r="B20" s="41" t="s">
        <v>14</v>
      </c>
      <c r="C20" s="19"/>
      <c r="D20" s="19"/>
      <c r="E20" s="20"/>
      <c r="F20" s="28"/>
      <c r="G20" s="34" t="s">
        <v>5</v>
      </c>
      <c r="H20" s="16"/>
      <c r="I20" s="4"/>
      <c r="J20" s="4"/>
      <c r="K20" s="8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/>
      <c r="B21" s="15"/>
      <c r="C21" s="15"/>
      <c r="D21" s="15"/>
      <c r="E21" s="15"/>
      <c r="F21" s="26"/>
      <c r="G21" s="15"/>
      <c r="H21" s="16"/>
      <c r="I21" s="4"/>
      <c r="J21" s="4"/>
      <c r="K21" s="8"/>
      <c r="L21" s="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/>
      <c r="B22" s="27" t="s">
        <v>15</v>
      </c>
      <c r="C22" s="19"/>
      <c r="D22" s="19"/>
      <c r="E22" s="20"/>
      <c r="F22" s="28"/>
      <c r="G22" s="29" t="s">
        <v>3</v>
      </c>
      <c r="H22" s="16"/>
      <c r="I22" s="4"/>
      <c r="J22" s="38" t="s">
        <v>12</v>
      </c>
      <c r="K22" s="39">
        <v>2.0</v>
      </c>
      <c r="L22" s="40" t="s">
        <v>16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/>
      <c r="B23" s="30" t="s">
        <v>17</v>
      </c>
      <c r="E23" s="31"/>
      <c r="F23" s="28"/>
      <c r="G23" s="32" t="s">
        <v>5</v>
      </c>
      <c r="H23" s="16"/>
      <c r="I23" s="4"/>
      <c r="J23" s="4"/>
      <c r="K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/>
      <c r="B24" s="30" t="s">
        <v>18</v>
      </c>
      <c r="E24" s="31"/>
      <c r="F24" s="28"/>
      <c r="G24" s="32" t="s">
        <v>5</v>
      </c>
      <c r="H24" s="16"/>
      <c r="I24" s="4"/>
      <c r="J24" s="4"/>
      <c r="K24" s="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/>
      <c r="B25" s="30" t="s">
        <v>19</v>
      </c>
      <c r="E25" s="31"/>
      <c r="F25" s="28"/>
      <c r="G25" s="32" t="s">
        <v>5</v>
      </c>
      <c r="H25" s="16"/>
      <c r="I25" s="4"/>
      <c r="J25" s="4"/>
      <c r="K25" s="8"/>
      <c r="L25" s="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/>
      <c r="B26" s="41" t="s">
        <v>20</v>
      </c>
      <c r="C26" s="19"/>
      <c r="D26" s="19"/>
      <c r="E26" s="20"/>
      <c r="F26" s="28"/>
      <c r="G26" s="34" t="s">
        <v>5</v>
      </c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/>
      <c r="B27" s="15"/>
      <c r="C27" s="15"/>
      <c r="D27" s="15"/>
      <c r="E27" s="15"/>
      <c r="F27" s="26"/>
      <c r="G27" s="15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7"/>
      <c r="B28" s="27" t="s">
        <v>21</v>
      </c>
      <c r="C28" s="19"/>
      <c r="D28" s="19"/>
      <c r="E28" s="20"/>
      <c r="F28" s="28"/>
      <c r="G28" s="29" t="s">
        <v>3</v>
      </c>
      <c r="H28" s="16"/>
      <c r="I28" s="4"/>
      <c r="J28" s="38" t="s">
        <v>12</v>
      </c>
      <c r="K28" s="39">
        <v>3.0</v>
      </c>
      <c r="L28" s="40" t="s">
        <v>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/>
      <c r="B29" s="30" t="s">
        <v>23</v>
      </c>
      <c r="E29" s="31"/>
      <c r="F29" s="28"/>
      <c r="G29" s="32" t="s">
        <v>5</v>
      </c>
      <c r="H29" s="16"/>
      <c r="I29" s="4"/>
      <c r="J29" s="4"/>
      <c r="K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/>
      <c r="B30" s="30" t="s">
        <v>24</v>
      </c>
      <c r="E30" s="31"/>
      <c r="F30" s="28"/>
      <c r="G30" s="32" t="s">
        <v>5</v>
      </c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/>
      <c r="B31" s="42" t="s">
        <v>25</v>
      </c>
      <c r="E31" s="31"/>
      <c r="F31" s="28"/>
      <c r="G31" s="32" t="s">
        <v>5</v>
      </c>
      <c r="H31" s="1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/>
      <c r="B32" s="30" t="s">
        <v>26</v>
      </c>
      <c r="E32" s="31"/>
      <c r="F32" s="28"/>
      <c r="G32" s="32" t="s">
        <v>5</v>
      </c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/>
      <c r="B33" s="36" t="s">
        <v>27</v>
      </c>
      <c r="C33" s="19"/>
      <c r="D33" s="19"/>
      <c r="E33" s="20"/>
      <c r="F33" s="28"/>
      <c r="G33" s="34" t="s">
        <v>5</v>
      </c>
      <c r="H33" s="1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/>
      <c r="B34" s="15"/>
      <c r="C34" s="15"/>
      <c r="D34" s="15"/>
      <c r="E34" s="15"/>
      <c r="F34" s="26"/>
      <c r="G34" s="15"/>
      <c r="H34" s="1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/>
      <c r="B35" s="27" t="s">
        <v>28</v>
      </c>
      <c r="C35" s="19"/>
      <c r="D35" s="19"/>
      <c r="E35" s="20"/>
      <c r="F35" s="28"/>
      <c r="G35" s="29" t="s">
        <v>3</v>
      </c>
      <c r="H35" s="16"/>
      <c r="I35" s="4"/>
      <c r="J35" s="38" t="s">
        <v>12</v>
      </c>
      <c r="K35" s="39">
        <v>4.0</v>
      </c>
      <c r="L35" s="40" t="s">
        <v>29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/>
      <c r="B36" s="30" t="s">
        <v>30</v>
      </c>
      <c r="E36" s="31"/>
      <c r="F36" s="28"/>
      <c r="G36" s="32" t="s">
        <v>5</v>
      </c>
      <c r="H36" s="16"/>
      <c r="I36" s="4"/>
      <c r="J36" s="4"/>
      <c r="K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/>
      <c r="B37" s="30" t="s">
        <v>31</v>
      </c>
      <c r="E37" s="31"/>
      <c r="F37" s="28"/>
      <c r="G37" s="32" t="s">
        <v>5</v>
      </c>
      <c r="H37" s="1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"/>
      <c r="B38" s="30" t="s">
        <v>32</v>
      </c>
      <c r="E38" s="31"/>
      <c r="F38" s="28"/>
      <c r="G38" s="32" t="s">
        <v>5</v>
      </c>
      <c r="H38" s="1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/>
      <c r="B39" s="30" t="s">
        <v>33</v>
      </c>
      <c r="E39" s="31"/>
      <c r="F39" s="28"/>
      <c r="G39" s="32" t="s">
        <v>5</v>
      </c>
      <c r="H39" s="1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/>
      <c r="B40" s="30" t="s">
        <v>34</v>
      </c>
      <c r="E40" s="31"/>
      <c r="F40" s="28"/>
      <c r="G40" s="32" t="s">
        <v>5</v>
      </c>
      <c r="H40" s="1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/>
      <c r="B41" s="30" t="s">
        <v>35</v>
      </c>
      <c r="E41" s="31"/>
      <c r="F41" s="28"/>
      <c r="G41" s="32" t="s">
        <v>5</v>
      </c>
      <c r="H41" s="1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/>
      <c r="B42" s="30" t="s">
        <v>36</v>
      </c>
      <c r="E42" s="31"/>
      <c r="F42" s="28"/>
      <c r="G42" s="32" t="s">
        <v>5</v>
      </c>
      <c r="H42" s="1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7"/>
      <c r="B43" s="36" t="s">
        <v>37</v>
      </c>
      <c r="C43" s="19"/>
      <c r="D43" s="19"/>
      <c r="E43" s="20"/>
      <c r="F43" s="28"/>
      <c r="G43" s="34" t="s">
        <v>5</v>
      </c>
      <c r="H43" s="1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3"/>
      <c r="B44" s="15"/>
      <c r="C44" s="15"/>
      <c r="D44" s="15"/>
      <c r="E44" s="15"/>
      <c r="F44" s="15"/>
      <c r="G44" s="15"/>
      <c r="H44" s="4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5"/>
      <c r="B45" s="45"/>
      <c r="C45" s="45"/>
      <c r="D45" s="45"/>
      <c r="E45" s="45"/>
      <c r="F45" s="45"/>
      <c r="G45" s="45"/>
      <c r="H45" s="4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</sheetData>
  <mergeCells count="37">
    <mergeCell ref="A1:E2"/>
    <mergeCell ref="B9:G9"/>
    <mergeCell ref="K9:L9"/>
    <mergeCell ref="M9:N9"/>
    <mergeCell ref="B11:E11"/>
    <mergeCell ref="B12:E12"/>
    <mergeCell ref="B13:E13"/>
    <mergeCell ref="L19:P20"/>
    <mergeCell ref="L22:O23"/>
    <mergeCell ref="L28:O29"/>
    <mergeCell ref="L35:O36"/>
    <mergeCell ref="B14:E14"/>
    <mergeCell ref="B16:E16"/>
    <mergeCell ref="B17:E17"/>
    <mergeCell ref="K17:O17"/>
    <mergeCell ref="B19:E19"/>
    <mergeCell ref="B20:E20"/>
    <mergeCell ref="B22:E22"/>
    <mergeCell ref="B23:E23"/>
    <mergeCell ref="B24:E24"/>
    <mergeCell ref="B25:E25"/>
    <mergeCell ref="B26:E26"/>
    <mergeCell ref="B28:E28"/>
    <mergeCell ref="B29:E29"/>
    <mergeCell ref="B30:E30"/>
    <mergeCell ref="B39:E39"/>
    <mergeCell ref="B40:E40"/>
    <mergeCell ref="B41:E41"/>
    <mergeCell ref="B42:E42"/>
    <mergeCell ref="B43:E43"/>
    <mergeCell ref="B31:E31"/>
    <mergeCell ref="B32:E32"/>
    <mergeCell ref="B33:E33"/>
    <mergeCell ref="B35:E35"/>
    <mergeCell ref="B36:E36"/>
    <mergeCell ref="B37:E37"/>
    <mergeCell ref="B38:E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6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47"/>
      <c r="E2" s="4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">
        <v>39</v>
      </c>
      <c r="B3" s="48" t="s">
        <v>40</v>
      </c>
      <c r="C3" s="49" t="s">
        <v>41</v>
      </c>
      <c r="D3" s="50" t="s">
        <v>42</v>
      </c>
      <c r="E3" s="5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 t="s">
        <v>43</v>
      </c>
      <c r="B4" s="48" t="s">
        <v>44</v>
      </c>
      <c r="C4" s="49" t="s">
        <v>41</v>
      </c>
      <c r="D4" s="52"/>
      <c r="E4" s="5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 t="s">
        <v>45</v>
      </c>
      <c r="B6" s="54">
        <v>10000.0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7"/>
      <c r="B7" s="47"/>
      <c r="C7" s="8"/>
      <c r="D7" s="4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5" t="s">
        <v>46</v>
      </c>
      <c r="B8" s="53"/>
      <c r="C8" s="56"/>
      <c r="D8" s="57" t="s">
        <v>47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8" t="s">
        <v>48</v>
      </c>
      <c r="B9" s="59" t="str">
        <f>1-'3 - Trash Trend'!E21</f>
        <v>#REF!</v>
      </c>
      <c r="C9" s="56"/>
      <c r="D9" s="60" t="str">
        <f t="shared" ref="D9:D10" si="1">B$6*B9</f>
        <v>#REF!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1" t="s">
        <v>49</v>
      </c>
      <c r="B10" s="59" t="str">
        <f>'3 - Trash Trend'!E21</f>
        <v>#REF!</v>
      </c>
      <c r="C10" s="56"/>
      <c r="D10" s="60" t="str">
        <f t="shared" si="1"/>
        <v>#REF!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7"/>
      <c r="B11" s="47"/>
      <c r="C11" s="8"/>
      <c r="D11" s="62"/>
      <c r="E11" s="47"/>
      <c r="F11" s="4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3" t="s">
        <v>50</v>
      </c>
      <c r="B12" s="53"/>
      <c r="C12" s="56"/>
      <c r="D12" s="64" t="s">
        <v>47</v>
      </c>
      <c r="E12" s="65" t="s">
        <v>51</v>
      </c>
      <c r="F12" s="65" t="s">
        <v>52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6" t="s">
        <v>53</v>
      </c>
      <c r="B13" s="59" t="str">
        <f t="shared" ref="B13:B15" si="2">'2 - Conservative Trend'!P11</f>
        <v>#REF!</v>
      </c>
      <c r="C13" s="56"/>
      <c r="D13" s="60" t="str">
        <f t="shared" ref="D13:D15" si="3">D$9*B13</f>
        <v>#REF!</v>
      </c>
      <c r="E13" s="67">
        <v>5000.0</v>
      </c>
      <c r="F13" s="60" t="str">
        <f t="shared" ref="F13:F15" si="4">D13-E13</f>
        <v>#REF!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6" t="s">
        <v>54</v>
      </c>
      <c r="B14" s="59" t="str">
        <f t="shared" si="2"/>
        <v>#REF!</v>
      </c>
      <c r="C14" s="56"/>
      <c r="D14" s="60" t="str">
        <f t="shared" si="3"/>
        <v>#REF!</v>
      </c>
      <c r="E14" s="67">
        <v>1000.0</v>
      </c>
      <c r="F14" s="60" t="str">
        <f t="shared" si="4"/>
        <v>#REF!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8" t="s">
        <v>55</v>
      </c>
      <c r="B15" s="69" t="str">
        <f t="shared" si="2"/>
        <v>#REF!</v>
      </c>
      <c r="C15" s="56"/>
      <c r="D15" s="70" t="str">
        <f t="shared" si="3"/>
        <v>#REF!</v>
      </c>
      <c r="E15" s="70">
        <v>0.0</v>
      </c>
      <c r="F15" s="70" t="str">
        <f t="shared" si="4"/>
        <v>#REF!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7"/>
      <c r="B16" s="47"/>
      <c r="C16" s="8"/>
      <c r="D16" s="47"/>
      <c r="E16" s="47"/>
      <c r="F16" s="4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1" t="s">
        <v>56</v>
      </c>
      <c r="B17" s="53"/>
      <c r="C17" s="56"/>
      <c r="D17" s="64" t="s">
        <v>47</v>
      </c>
      <c r="E17" s="65" t="s">
        <v>51</v>
      </c>
      <c r="F17" s="65" t="s">
        <v>52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6" t="str">
        <f t="shared" ref="A18:B18" si="5">'4 - Trash Selection Table'!J10</f>
        <v>#REF!</v>
      </c>
      <c r="B18" s="72" t="str">
        <f t="shared" si="5"/>
        <v>#REF!</v>
      </c>
      <c r="C18" s="56"/>
      <c r="D18" s="60" t="str">
        <f t="shared" ref="D18:D23" si="7">D$10*B18</f>
        <v>#REF!</v>
      </c>
      <c r="E18" s="67">
        <v>300.0</v>
      </c>
      <c r="F18" s="60" t="str">
        <f t="shared" ref="F18:F23" si="8">D18-E18</f>
        <v>#REF!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6" t="str">
        <f t="shared" ref="A19:B19" si="6">'4 - Trash Selection Table'!J11</f>
        <v>#REF!</v>
      </c>
      <c r="B19" s="72" t="str">
        <f t="shared" si="6"/>
        <v>#REF!</v>
      </c>
      <c r="C19" s="56"/>
      <c r="D19" s="60" t="str">
        <f t="shared" si="7"/>
        <v>#REF!</v>
      </c>
      <c r="E19" s="67">
        <v>100.0</v>
      </c>
      <c r="F19" s="60" t="str">
        <f t="shared" si="8"/>
        <v>#REF!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6" t="str">
        <f t="shared" ref="A20:B20" si="9">'4 - Trash Selection Table'!J12</f>
        <v>#REF!</v>
      </c>
      <c r="B20" s="72" t="str">
        <f t="shared" si="9"/>
        <v>#REF!</v>
      </c>
      <c r="C20" s="56"/>
      <c r="D20" s="60" t="str">
        <f t="shared" si="7"/>
        <v>#REF!</v>
      </c>
      <c r="E20" s="67">
        <v>300.0</v>
      </c>
      <c r="F20" s="60" t="str">
        <f t="shared" si="8"/>
        <v>#REF!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6" t="str">
        <f t="shared" ref="A21:B21" si="10">'4 - Trash Selection Table'!J13</f>
        <v>#REF!</v>
      </c>
      <c r="B21" s="73" t="str">
        <f t="shared" si="10"/>
        <v>#REF!</v>
      </c>
      <c r="C21" s="56"/>
      <c r="D21" s="60" t="str">
        <f t="shared" si="7"/>
        <v>#REF!</v>
      </c>
      <c r="E21" s="67">
        <v>300.0</v>
      </c>
      <c r="F21" s="60" t="str">
        <f t="shared" si="8"/>
        <v>#REF!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6" t="str">
        <f t="shared" ref="A22:B22" si="11">'4 - Trash Selection Table'!J14</f>
        <v>#REF!</v>
      </c>
      <c r="B22" s="73" t="str">
        <f t="shared" si="11"/>
        <v>#REF!</v>
      </c>
      <c r="C22" s="56"/>
      <c r="D22" s="60" t="str">
        <f t="shared" si="7"/>
        <v>#REF!</v>
      </c>
      <c r="E22" s="67">
        <v>400.0</v>
      </c>
      <c r="F22" s="60" t="str">
        <f t="shared" si="8"/>
        <v>#REF!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6" t="str">
        <f t="shared" ref="A23:B23" si="12">'4 - Trash Selection Table'!J15</f>
        <v>#REF!</v>
      </c>
      <c r="B23" s="73" t="str">
        <f t="shared" si="12"/>
        <v>#REF!</v>
      </c>
      <c r="C23" s="56"/>
      <c r="D23" s="60" t="str">
        <f t="shared" si="7"/>
        <v>#REF!</v>
      </c>
      <c r="E23" s="67">
        <v>150.0</v>
      </c>
      <c r="F23" s="60" t="str">
        <f t="shared" si="8"/>
        <v>#REF!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4">
    <mergeCell ref="D3:E4"/>
    <mergeCell ref="A8:B8"/>
    <mergeCell ref="A12:B12"/>
    <mergeCell ref="A17:B1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4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5" t="s">
        <v>58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5" t="s">
        <v>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5" t="s">
        <v>60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5" t="s">
        <v>61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76"/>
      <c r="C7" s="76"/>
      <c r="D7" s="76"/>
      <c r="E7" s="76"/>
      <c r="F7" s="76"/>
      <c r="G7" s="7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7"/>
      <c r="B8" s="78" t="s">
        <v>62</v>
      </c>
      <c r="C8" s="79" t="s">
        <v>63</v>
      </c>
      <c r="D8" s="80" t="s">
        <v>64</v>
      </c>
      <c r="E8" s="80" t="s">
        <v>65</v>
      </c>
      <c r="F8" s="80" t="s">
        <v>66</v>
      </c>
      <c r="G8" s="81" t="s">
        <v>67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76"/>
      <c r="C9" s="76"/>
      <c r="D9" s="76"/>
      <c r="E9" s="76"/>
      <c r="F9" s="76"/>
      <c r="G9" s="7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7"/>
      <c r="B10" s="82"/>
      <c r="C10" s="57"/>
      <c r="D10" s="57"/>
      <c r="E10" s="57"/>
      <c r="F10" s="83">
        <v>1.0</v>
      </c>
      <c r="G10" s="84" t="str">
        <f t="shared" ref="G10:G20" si="1">IF(F10=1, "Bullish", IF(F10=-1, "Bearish", ""))</f>
        <v>Bullish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7"/>
      <c r="B11" s="82"/>
      <c r="C11" s="57"/>
      <c r="D11" s="57"/>
      <c r="E11" s="57"/>
      <c r="F11" s="83">
        <v>1.0</v>
      </c>
      <c r="G11" s="84" t="str">
        <f t="shared" si="1"/>
        <v>Bullish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7"/>
      <c r="B12" s="82"/>
      <c r="C12" s="57"/>
      <c r="D12" s="57"/>
      <c r="E12" s="57"/>
      <c r="F12" s="83">
        <v>-1.0</v>
      </c>
      <c r="G12" s="85" t="str">
        <f t="shared" si="1"/>
        <v>Bearish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7"/>
      <c r="B13" s="82"/>
      <c r="C13" s="57"/>
      <c r="D13" s="57"/>
      <c r="E13" s="57"/>
      <c r="F13" s="83">
        <v>1.0</v>
      </c>
      <c r="G13" s="84" t="str">
        <f t="shared" si="1"/>
        <v>Bullish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7"/>
      <c r="B14" s="82"/>
      <c r="C14" s="57"/>
      <c r="D14" s="57"/>
      <c r="E14" s="57"/>
      <c r="F14" s="83">
        <v>1.0</v>
      </c>
      <c r="G14" s="84" t="str">
        <f t="shared" si="1"/>
        <v>Bullish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7"/>
      <c r="B15" s="82"/>
      <c r="C15" s="57"/>
      <c r="D15" s="57"/>
      <c r="E15" s="57"/>
      <c r="F15" s="83">
        <v>-1.0</v>
      </c>
      <c r="G15" s="85" t="str">
        <f t="shared" si="1"/>
        <v>Bearish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7"/>
      <c r="B16" s="57"/>
      <c r="C16" s="57"/>
      <c r="D16" s="57"/>
      <c r="E16" s="57"/>
      <c r="F16" s="83">
        <v>-1.0</v>
      </c>
      <c r="G16" s="85" t="str">
        <f t="shared" si="1"/>
        <v>Bearish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7"/>
      <c r="B17" s="57"/>
      <c r="C17" s="57"/>
      <c r="D17" s="57"/>
      <c r="E17" s="57"/>
      <c r="F17" s="83">
        <v>-1.0</v>
      </c>
      <c r="G17" s="85" t="str">
        <f t="shared" si="1"/>
        <v>Bearish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7"/>
      <c r="B18" s="57"/>
      <c r="C18" s="57"/>
      <c r="D18" s="57"/>
      <c r="E18" s="57"/>
      <c r="F18" s="83">
        <v>1.0</v>
      </c>
      <c r="G18" s="84" t="str">
        <f t="shared" si="1"/>
        <v>Bullish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7"/>
      <c r="B19" s="57"/>
      <c r="C19" s="57"/>
      <c r="D19" s="86"/>
      <c r="E19" s="57"/>
      <c r="F19" s="83">
        <v>1.0</v>
      </c>
      <c r="G19" s="84" t="str">
        <f t="shared" si="1"/>
        <v>Bullish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7"/>
      <c r="B20" s="87"/>
      <c r="C20" s="87"/>
      <c r="D20" s="87"/>
      <c r="E20" s="87"/>
      <c r="F20" s="88">
        <v>1.0</v>
      </c>
      <c r="G20" s="89" t="str">
        <f t="shared" si="1"/>
        <v>Bullish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11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9"/>
      <c r="F22" s="90" t="s">
        <v>68</v>
      </c>
      <c r="G22" s="91" t="str">
        <f>AVERAGE(F10:F20)</f>
        <v>0.27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92" t="s">
        <v>69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92" t="s">
        <v>70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1.57"/>
  </cols>
  <sheetData>
    <row r="1">
      <c r="A1" s="93" t="s">
        <v>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4" t="s">
        <v>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4" t="s">
        <v>73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4" t="s">
        <v>74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4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4" t="s">
        <v>76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8"/>
      <c r="C8" s="11"/>
      <c r="D8" s="11"/>
      <c r="E8" s="11"/>
      <c r="F8" s="11"/>
      <c r="G8" s="11"/>
      <c r="H8" s="8"/>
      <c r="I8" s="11"/>
      <c r="J8" s="11"/>
      <c r="K8" s="8"/>
      <c r="L8" s="11"/>
      <c r="M8" s="11"/>
      <c r="N8" s="8"/>
      <c r="O8" s="11"/>
      <c r="P8" s="11"/>
      <c r="Q8" s="8"/>
      <c r="R8" s="8"/>
      <c r="S8" s="8"/>
      <c r="T8" s="8"/>
      <c r="U8" s="8"/>
      <c r="V8" s="8"/>
      <c r="W8" s="8"/>
      <c r="X8" s="8"/>
      <c r="Y8" s="8"/>
    </row>
    <row r="9">
      <c r="A9" s="9"/>
      <c r="B9" s="95" t="s">
        <v>77</v>
      </c>
      <c r="C9" s="23"/>
      <c r="D9" s="23"/>
      <c r="E9" s="23"/>
      <c r="F9" s="23"/>
      <c r="G9" s="25"/>
      <c r="H9" s="9"/>
      <c r="I9" s="96" t="s">
        <v>78</v>
      </c>
      <c r="J9" s="25"/>
      <c r="K9" s="9"/>
      <c r="L9" s="97" t="s">
        <v>79</v>
      </c>
      <c r="M9" s="25"/>
      <c r="N9" s="9"/>
      <c r="O9" s="95" t="s">
        <v>80</v>
      </c>
      <c r="P9" s="25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98"/>
      <c r="C10" s="99"/>
      <c r="D10" s="98"/>
      <c r="E10" s="98"/>
      <c r="F10" s="100" t="s">
        <v>81</v>
      </c>
      <c r="G10" s="98"/>
      <c r="H10" s="8"/>
      <c r="I10" s="11"/>
      <c r="J10" s="11"/>
      <c r="K10" s="8"/>
      <c r="L10" s="11"/>
      <c r="M10" s="11"/>
      <c r="N10" s="8"/>
      <c r="O10" s="11"/>
      <c r="P10" s="11"/>
      <c r="Q10" s="8"/>
      <c r="R10" s="8"/>
      <c r="S10" s="8"/>
      <c r="T10" s="8"/>
      <c r="U10" s="8"/>
      <c r="V10" s="8"/>
      <c r="W10" s="8"/>
      <c r="X10" s="8"/>
      <c r="Y10" s="8"/>
    </row>
    <row r="11">
      <c r="A11" s="101"/>
      <c r="B11" s="102" t="s">
        <v>62</v>
      </c>
      <c r="C11" s="102" t="s">
        <v>63</v>
      </c>
      <c r="D11" s="103" t="s">
        <v>82</v>
      </c>
      <c r="E11" s="103" t="s">
        <v>65</v>
      </c>
      <c r="F11" s="103" t="s">
        <v>66</v>
      </c>
      <c r="G11" s="104" t="s">
        <v>67</v>
      </c>
      <c r="H11" s="9"/>
      <c r="I11" s="105" t="s">
        <v>83</v>
      </c>
      <c r="J11" s="106" t="str">
        <f t="shared" ref="J11:J12" si="1">Balances!B3</f>
        <v>#REF!</v>
      </c>
      <c r="K11" s="9"/>
      <c r="L11" s="107" t="s">
        <v>53</v>
      </c>
      <c r="M11" s="108" t="str">
        <f>IF(J11="Yes", IF(AND($G$17&gt;0, $G$28&lt;0), 2, IF(OR(AND($G$17&gt;0, $G$28&gt;0), AND($G$17&lt;0, $G$28&lt;0)), 1, 0)), IF(G17&gt;0,2,1)
)</f>
        <v>#REF!</v>
      </c>
      <c r="N11" s="9"/>
      <c r="O11" s="109" t="s">
        <v>53</v>
      </c>
      <c r="P11" s="110" t="str">
        <f>IF(AND(J11="Yes", M11=1, M12=1, M13=1), 1/3, 
    IF(AND(J11="No", M11=0, M12=0), 1/2, 
        IF(M11=0, 0, 
            IF(M11=1, IF(J12="80 / 20", 0.2, 0), 
                IF(M11=2, IF(J12="80 / 20", 0.8, 1), 0)
            )
        )
    )
)
</f>
        <v>#REF!</v>
      </c>
      <c r="Q11" s="8"/>
      <c r="R11" s="8"/>
      <c r="S11" s="8"/>
      <c r="T11" s="8"/>
      <c r="U11" s="8"/>
      <c r="V11" s="8"/>
      <c r="W11" s="8"/>
      <c r="X11" s="8"/>
      <c r="Y11" s="8"/>
    </row>
    <row r="12">
      <c r="A12" s="101"/>
      <c r="B12" s="111" t="s">
        <v>84</v>
      </c>
      <c r="C12" s="111" t="s">
        <v>85</v>
      </c>
      <c r="D12" s="57"/>
      <c r="E12" s="57"/>
      <c r="F12" s="112">
        <v>1.0</v>
      </c>
      <c r="G12" s="113" t="str">
        <f t="shared" ref="G12:G16" si="2">IF(F12=1, "Bullish", IF(F12=-1, "Bearish", ""))</f>
        <v>Bullish</v>
      </c>
      <c r="H12" s="9"/>
      <c r="I12" s="114" t="s">
        <v>86</v>
      </c>
      <c r="J12" s="115" t="str">
        <f t="shared" si="1"/>
        <v>#REF!</v>
      </c>
      <c r="K12" s="116" t="str">
        <f>"+"</f>
        <v>+</v>
      </c>
      <c r="L12" s="107" t="s">
        <v>54</v>
      </c>
      <c r="M12" s="108" t="str">
        <f>IF(J11="Yes",IF(AND($G$17&lt;0, $G$39&lt;0), 2, IF(OR(AND($G$17&lt;0, $G$39&gt;0), AND($G$17&gt;0, $G$39&lt;0)), 1, 0)),IF(G17&lt;0,2,1)
)</f>
        <v>#REF!</v>
      </c>
      <c r="N12" s="116" t="str">
        <f>"="</f>
        <v>=</v>
      </c>
      <c r="O12" s="109" t="s">
        <v>54</v>
      </c>
      <c r="P12" s="110" t="str">
        <f>IF(AND(J11="Yes", M11=1, M12=1, M13=1), 1/3, 
    IF(AND(J11="No", M11=0, M12=0), 1/2, 
        IF(M12=0, 0, 
            IF(M12=1, IF(J12="80 / 20", 0.2, 0), 
                IF(M12=2, IF(J12="80 / 20", 0.8, 1), 0)
            )
        )
    )
)
</f>
        <v>#REF!</v>
      </c>
      <c r="Q12" s="8"/>
      <c r="R12" s="8"/>
      <c r="S12" s="8"/>
      <c r="T12" s="8"/>
      <c r="U12" s="8"/>
      <c r="V12" s="8"/>
      <c r="W12" s="8"/>
      <c r="X12" s="8"/>
      <c r="Y12" s="8"/>
    </row>
    <row r="13">
      <c r="A13" s="101"/>
      <c r="B13" s="111" t="s">
        <v>87</v>
      </c>
      <c r="C13" s="111" t="s">
        <v>88</v>
      </c>
      <c r="D13" s="57"/>
      <c r="E13" s="57"/>
      <c r="F13" s="112">
        <v>1.0</v>
      </c>
      <c r="G13" s="113" t="str">
        <f t="shared" si="2"/>
        <v>Bullish</v>
      </c>
      <c r="H13" s="9"/>
      <c r="I13" s="114" t="s">
        <v>89</v>
      </c>
      <c r="J13" s="117" t="str">
        <f>IF(AND(J11="Yes", J12="100 / 0"), "Higher Risk", IF(AND(J11="No", J12="80 / 20"), "Lower Risk", "Medium Risk"))
</f>
        <v>#REF!</v>
      </c>
      <c r="K13" s="9"/>
      <c r="L13" s="97" t="s">
        <v>55</v>
      </c>
      <c r="M13" s="118" t="str">
        <f>IF(AND($G$28&gt;0, $G$39&gt;0), 2, IF(OR(AND($G$28&lt;0, $G$39&gt;0), AND($G$28&gt;0, $G$39&lt;0)), 1, 0))</f>
        <v>0</v>
      </c>
      <c r="N13" s="9"/>
      <c r="O13" s="95" t="s">
        <v>55</v>
      </c>
      <c r="P13" s="119" t="str">
        <f>IF(J11="No", 0, 
    IF(AND(M11=1, M12=1, M13=1), 1/3, 
        IF(M13=0, 0, 
            IF(M13=1, IF(J12="80 / 20", 0.2, 0), 
                IF(M13=2, IF(J12="80 / 20", 0.8, 1), 0)
            )
        )
    )
)
</f>
        <v>#REF!</v>
      </c>
      <c r="Q13" s="8"/>
      <c r="R13" s="8"/>
      <c r="S13" s="8"/>
      <c r="T13" s="8"/>
      <c r="U13" s="8"/>
      <c r="V13" s="8"/>
      <c r="W13" s="8"/>
      <c r="X13" s="8"/>
      <c r="Y13" s="8"/>
    </row>
    <row r="14">
      <c r="A14" s="101"/>
      <c r="B14" s="111" t="s">
        <v>84</v>
      </c>
      <c r="C14" s="111" t="s">
        <v>90</v>
      </c>
      <c r="D14" s="57"/>
      <c r="E14" s="57"/>
      <c r="F14" s="112">
        <v>-1.0</v>
      </c>
      <c r="G14" s="113" t="str">
        <f t="shared" si="2"/>
        <v>Bearish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1"/>
      <c r="B15" s="111" t="s">
        <v>87</v>
      </c>
      <c r="C15" s="111" t="s">
        <v>91</v>
      </c>
      <c r="D15" s="57"/>
      <c r="E15" s="57"/>
      <c r="F15" s="112">
        <v>-1.0</v>
      </c>
      <c r="G15" s="113" t="str">
        <f t="shared" si="2"/>
        <v>Bearish</v>
      </c>
      <c r="H15" s="8"/>
      <c r="I15" s="120" t="s">
        <v>92</v>
      </c>
      <c r="K15" s="8"/>
      <c r="L15" s="120" t="s">
        <v>92</v>
      </c>
      <c r="N15" s="8"/>
      <c r="O15" s="120" t="s">
        <v>92</v>
      </c>
      <c r="Q15" s="8"/>
      <c r="R15" s="8"/>
      <c r="S15" s="8"/>
      <c r="T15" s="8"/>
      <c r="U15" s="8"/>
      <c r="V15" s="8"/>
      <c r="W15" s="8"/>
      <c r="X15" s="8"/>
      <c r="Y15" s="8"/>
    </row>
    <row r="16">
      <c r="A16" s="101"/>
      <c r="B16" s="121" t="s">
        <v>84</v>
      </c>
      <c r="C16" s="121" t="s">
        <v>93</v>
      </c>
      <c r="D16" s="122"/>
      <c r="E16" s="122"/>
      <c r="F16" s="123">
        <v>-1.0</v>
      </c>
      <c r="G16" s="104" t="str">
        <f t="shared" si="2"/>
        <v>Bearish</v>
      </c>
      <c r="H16" s="8"/>
      <c r="I16" s="120" t="s">
        <v>94</v>
      </c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8"/>
      <c r="D17" s="8"/>
      <c r="E17" s="101"/>
      <c r="F17" s="103" t="s">
        <v>68</v>
      </c>
      <c r="G17" s="124" t="str">
        <f>AVERAGE(F12:F16)</f>
        <v>-0.20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9"/>
      <c r="B20" s="95" t="s">
        <v>95</v>
      </c>
      <c r="C20" s="23"/>
      <c r="D20" s="23"/>
      <c r="E20" s="23"/>
      <c r="F20" s="23"/>
      <c r="G20" s="2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98"/>
      <c r="C21" s="99"/>
      <c r="D21" s="98"/>
      <c r="E21" s="98"/>
      <c r="F21" s="125" t="s">
        <v>81</v>
      </c>
      <c r="G21" s="9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1"/>
      <c r="B22" s="102" t="s">
        <v>62</v>
      </c>
      <c r="C22" s="102" t="s">
        <v>63</v>
      </c>
      <c r="D22" s="103" t="s">
        <v>82</v>
      </c>
      <c r="E22" s="103" t="s">
        <v>65</v>
      </c>
      <c r="F22" s="103" t="s">
        <v>66</v>
      </c>
      <c r="G22" s="104" t="s">
        <v>67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1"/>
      <c r="B23" s="111" t="s">
        <v>84</v>
      </c>
      <c r="C23" s="111" t="s">
        <v>85</v>
      </c>
      <c r="D23" s="57"/>
      <c r="E23" s="57"/>
      <c r="F23" s="112">
        <v>1.0</v>
      </c>
      <c r="G23" s="113" t="str">
        <f t="shared" ref="G23:G27" si="3">IF(F23=1, "Bullish", IF(F23=-1, "Bearish", ""))</f>
        <v>Bullish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1"/>
      <c r="B24" s="111" t="s">
        <v>87</v>
      </c>
      <c r="C24" s="111" t="s">
        <v>88</v>
      </c>
      <c r="D24" s="57"/>
      <c r="E24" s="57"/>
      <c r="F24" s="112">
        <v>1.0</v>
      </c>
      <c r="G24" s="113" t="str">
        <f t="shared" si="3"/>
        <v>Bullish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1"/>
      <c r="B25" s="111" t="s">
        <v>84</v>
      </c>
      <c r="C25" s="111" t="s">
        <v>90</v>
      </c>
      <c r="D25" s="57"/>
      <c r="E25" s="57"/>
      <c r="F25" s="112">
        <v>-1.0</v>
      </c>
      <c r="G25" s="113" t="str">
        <f t="shared" si="3"/>
        <v>Bearish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1"/>
      <c r="B26" s="111" t="s">
        <v>87</v>
      </c>
      <c r="C26" s="111" t="s">
        <v>91</v>
      </c>
      <c r="D26" s="57"/>
      <c r="E26" s="57"/>
      <c r="F26" s="112">
        <v>-1.0</v>
      </c>
      <c r="G26" s="113" t="str">
        <f t="shared" si="3"/>
        <v>Bearish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1"/>
      <c r="B27" s="121" t="s">
        <v>84</v>
      </c>
      <c r="C27" s="121" t="s">
        <v>93</v>
      </c>
      <c r="D27" s="122"/>
      <c r="E27" s="122"/>
      <c r="F27" s="123">
        <v>-1.0</v>
      </c>
      <c r="G27" s="104" t="str">
        <f t="shared" si="3"/>
        <v>Bearish</v>
      </c>
      <c r="H27" s="8"/>
      <c r="I27" s="8"/>
      <c r="J27" s="12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101"/>
      <c r="F28" s="103" t="s">
        <v>68</v>
      </c>
      <c r="G28" s="127" t="str">
        <f>AVERAGE(F23:F27)</f>
        <v>-0.20</v>
      </c>
      <c r="H28" s="8"/>
      <c r="I28" s="8"/>
      <c r="J28" s="12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11"/>
      <c r="C30" s="11"/>
      <c r="D30" s="11"/>
      <c r="E30" s="11"/>
      <c r="F30" s="11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9"/>
      <c r="B31" s="95" t="s">
        <v>96</v>
      </c>
      <c r="C31" s="23"/>
      <c r="D31" s="23"/>
      <c r="E31" s="23"/>
      <c r="F31" s="23"/>
      <c r="G31" s="25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98"/>
      <c r="C32" s="99"/>
      <c r="D32" s="98"/>
      <c r="E32" s="98"/>
      <c r="F32" s="125" t="s">
        <v>81</v>
      </c>
      <c r="G32" s="9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1"/>
      <c r="B33" s="102" t="s">
        <v>62</v>
      </c>
      <c r="C33" s="102" t="s">
        <v>63</v>
      </c>
      <c r="D33" s="103" t="s">
        <v>82</v>
      </c>
      <c r="E33" s="103" t="s">
        <v>65</v>
      </c>
      <c r="F33" s="103" t="s">
        <v>66</v>
      </c>
      <c r="G33" s="104" t="s">
        <v>67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1"/>
      <c r="B34" s="111" t="s">
        <v>84</v>
      </c>
      <c r="C34" s="111" t="s">
        <v>85</v>
      </c>
      <c r="D34" s="57"/>
      <c r="E34" s="57"/>
      <c r="F34" s="112">
        <v>1.0</v>
      </c>
      <c r="G34" s="113" t="str">
        <f t="shared" ref="G34:G38" si="4">IF(F34=1, "Bullish", IF(F34=-1, "Bearish", ""))</f>
        <v>Bullish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1"/>
      <c r="B35" s="111" t="s">
        <v>87</v>
      </c>
      <c r="C35" s="111" t="s">
        <v>88</v>
      </c>
      <c r="D35" s="57"/>
      <c r="E35" s="57"/>
      <c r="F35" s="112">
        <v>1.0</v>
      </c>
      <c r="G35" s="113" t="str">
        <f t="shared" si="4"/>
        <v>Bullish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1"/>
      <c r="B36" s="111" t="s">
        <v>84</v>
      </c>
      <c r="C36" s="111" t="s">
        <v>90</v>
      </c>
      <c r="D36" s="57"/>
      <c r="E36" s="57"/>
      <c r="F36" s="112">
        <v>-1.0</v>
      </c>
      <c r="G36" s="113" t="str">
        <f t="shared" si="4"/>
        <v>Bearish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1"/>
      <c r="B37" s="111" t="s">
        <v>87</v>
      </c>
      <c r="C37" s="111" t="s">
        <v>91</v>
      </c>
      <c r="D37" s="57"/>
      <c r="E37" s="57"/>
      <c r="F37" s="112">
        <v>-1.0</v>
      </c>
      <c r="G37" s="113" t="str">
        <f t="shared" si="4"/>
        <v>Bearish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1"/>
      <c r="B38" s="121" t="s">
        <v>84</v>
      </c>
      <c r="C38" s="121" t="s">
        <v>93</v>
      </c>
      <c r="D38" s="122"/>
      <c r="E38" s="122"/>
      <c r="F38" s="123">
        <v>-1.0</v>
      </c>
      <c r="G38" s="104" t="str">
        <f t="shared" si="4"/>
        <v>Bearish</v>
      </c>
      <c r="H38" s="8"/>
      <c r="I38" s="8"/>
      <c r="J38" s="12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101"/>
      <c r="F39" s="103" t="s">
        <v>68</v>
      </c>
      <c r="G39" s="127" t="str">
        <f>AVERAGE(F34:F38)</f>
        <v>-0.20</v>
      </c>
      <c r="H39" s="8"/>
      <c r="I39" s="8"/>
      <c r="J39" s="12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</sheetData>
  <mergeCells count="11">
    <mergeCell ref="O15:P15"/>
    <mergeCell ref="I16:P16"/>
    <mergeCell ref="B20:G20"/>
    <mergeCell ref="B31:G31"/>
    <mergeCell ref="A8:B8"/>
    <mergeCell ref="B9:G9"/>
    <mergeCell ref="I9:J9"/>
    <mergeCell ref="L9:M9"/>
    <mergeCell ref="O9:P9"/>
    <mergeCell ref="I15:J15"/>
    <mergeCell ref="L15:M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93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5" t="s">
        <v>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5" t="s">
        <v>99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5" t="s">
        <v>100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98"/>
      <c r="D5" s="98"/>
      <c r="E5" s="98"/>
      <c r="F5" s="98"/>
      <c r="G5" s="98"/>
      <c r="H5" s="9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01"/>
      <c r="C6" s="103" t="s">
        <v>101</v>
      </c>
      <c r="D6" s="128"/>
      <c r="E6" s="128"/>
      <c r="F6" s="128"/>
      <c r="G6" s="128"/>
      <c r="H6" s="12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98"/>
      <c r="D7" s="98"/>
      <c r="E7" s="98"/>
      <c r="F7" s="98"/>
      <c r="G7" s="130" t="s">
        <v>102</v>
      </c>
      <c r="H7" s="9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101"/>
      <c r="C8" s="103" t="s">
        <v>62</v>
      </c>
      <c r="D8" s="103" t="s">
        <v>63</v>
      </c>
      <c r="E8" s="103" t="s">
        <v>64</v>
      </c>
      <c r="F8" s="103" t="s">
        <v>65</v>
      </c>
      <c r="G8" s="103" t="s">
        <v>103</v>
      </c>
      <c r="H8" s="104" t="s">
        <v>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101"/>
      <c r="C9" s="131" t="s">
        <v>84</v>
      </c>
      <c r="D9" s="131" t="s">
        <v>85</v>
      </c>
      <c r="E9" s="57"/>
      <c r="F9" s="57"/>
      <c r="G9" s="112">
        <v>1.0</v>
      </c>
      <c r="H9" s="132" t="str">
        <f t="shared" ref="H9:H13" si="1">if(G9&gt;0,"Bullish", "Not Bullish")</f>
        <v>Bullish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01"/>
      <c r="C10" s="131" t="s">
        <v>87</v>
      </c>
      <c r="D10" s="131" t="s">
        <v>88</v>
      </c>
      <c r="E10" s="57"/>
      <c r="F10" s="57"/>
      <c r="G10" s="112">
        <v>1.0</v>
      </c>
      <c r="H10" s="132" t="str">
        <f t="shared" si="1"/>
        <v>Bullish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01"/>
      <c r="C11" s="57"/>
      <c r="D11" s="131" t="s">
        <v>90</v>
      </c>
      <c r="E11" s="57"/>
      <c r="F11" s="57"/>
      <c r="G11" s="112">
        <v>0.0</v>
      </c>
      <c r="H11" s="132" t="str">
        <f t="shared" si="1"/>
        <v>Not Bullish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101"/>
      <c r="C12" s="57"/>
      <c r="D12" s="131" t="s">
        <v>91</v>
      </c>
      <c r="E12" s="57"/>
      <c r="F12" s="57"/>
      <c r="G12" s="112">
        <v>1.0</v>
      </c>
      <c r="H12" s="132" t="str">
        <f t="shared" si="1"/>
        <v>Bullish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01"/>
      <c r="C13" s="122"/>
      <c r="D13" s="133" t="s">
        <v>93</v>
      </c>
      <c r="E13" s="122"/>
      <c r="F13" s="122"/>
      <c r="G13" s="123">
        <v>1.0</v>
      </c>
      <c r="H13" s="134" t="str">
        <f t="shared" si="1"/>
        <v>Bullish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11"/>
      <c r="G14" s="13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9"/>
      <c r="F15" s="136" t="s">
        <v>68</v>
      </c>
      <c r="G15" s="137" t="str">
        <f>AVERAGE(G9:G13)</f>
        <v>0.80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11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9"/>
      <c r="D19" s="138" t="s">
        <v>104</v>
      </c>
      <c r="E19" s="139">
        <v>0.2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9"/>
      <c r="D20" s="138" t="s">
        <v>105</v>
      </c>
      <c r="E20" s="140" t="str">
        <f>G15</f>
        <v>0.8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9"/>
      <c r="D21" s="141" t="s">
        <v>106</v>
      </c>
      <c r="E21" s="142" t="str">
        <f>E19*E20</f>
        <v>16%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mergeCells count="1">
    <mergeCell ref="C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4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75" t="s">
        <v>108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>
      <c r="A3" s="143" t="s">
        <v>109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>
      <c r="A4" s="75" t="s">
        <v>110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75" t="s">
        <v>111</v>
      </c>
      <c r="B5" s="144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>
      <c r="A6" s="145" t="s">
        <v>112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>
      <c r="A7" s="11"/>
      <c r="B7" s="11"/>
      <c r="C7" s="11"/>
      <c r="D7" s="11"/>
      <c r="E7" s="11"/>
      <c r="F7" s="11"/>
      <c r="G7" s="11"/>
      <c r="H7" s="8"/>
      <c r="I7" s="8"/>
      <c r="J7" s="11"/>
      <c r="K7" s="11"/>
      <c r="L7" s="8"/>
      <c r="M7" s="8"/>
      <c r="N7" s="8"/>
      <c r="O7" s="8"/>
      <c r="P7" s="8"/>
      <c r="Q7" s="8"/>
    </row>
    <row r="8">
      <c r="A8" s="146" t="s">
        <v>113</v>
      </c>
      <c r="B8" s="147" t="s">
        <v>114</v>
      </c>
      <c r="C8" s="147" t="s">
        <v>115</v>
      </c>
      <c r="D8" s="147" t="s">
        <v>116</v>
      </c>
      <c r="E8" s="147" t="s">
        <v>117</v>
      </c>
      <c r="F8" s="147" t="s">
        <v>118</v>
      </c>
      <c r="G8" s="148" t="s">
        <v>119</v>
      </c>
      <c r="H8" s="8"/>
      <c r="I8" s="9"/>
      <c r="J8" s="149" t="s">
        <v>120</v>
      </c>
      <c r="K8" s="6"/>
      <c r="L8" s="120" t="s">
        <v>121</v>
      </c>
      <c r="O8" s="8"/>
      <c r="P8" s="8"/>
      <c r="Q8" s="8"/>
    </row>
    <row r="9">
      <c r="A9" s="150"/>
      <c r="B9" s="11"/>
      <c r="C9" s="11"/>
      <c r="D9" s="11"/>
      <c r="E9" s="11"/>
      <c r="F9" s="11"/>
      <c r="G9" s="151"/>
      <c r="H9" s="8"/>
      <c r="I9" s="9"/>
      <c r="J9" s="152">
        <v>4.0</v>
      </c>
      <c r="K9" s="25"/>
      <c r="O9" s="8"/>
      <c r="P9" s="8"/>
      <c r="Q9" s="8"/>
    </row>
    <row r="10">
      <c r="A10" s="153" t="s">
        <v>122</v>
      </c>
      <c r="B10" s="154">
        <v>1.0</v>
      </c>
      <c r="C10" s="155">
        <v>1.0</v>
      </c>
      <c r="D10" s="155">
        <v>1.0</v>
      </c>
      <c r="E10" s="155">
        <v>1.0</v>
      </c>
      <c r="F10" s="156">
        <v>1.0</v>
      </c>
      <c r="G10" s="157">
        <v>4.0</v>
      </c>
      <c r="H10" s="8"/>
      <c r="I10" s="9"/>
      <c r="J10" s="155" t="str">
        <f>IFERROR(__xludf.DUMMYFUNCTION("FILTER(A10:A24, G10:G24 &gt;=J9)
"),"TOKEN A")</f>
        <v>TOKEN A</v>
      </c>
      <c r="K10" s="158" t="str">
        <f t="shared" ref="K10:K15" si="1">IF(ISBLANK(J10), "", 1 / COUNTA($J$10:$J$15))
</f>
        <v>33.33%</v>
      </c>
      <c r="L10" s="8"/>
      <c r="M10" s="8"/>
      <c r="N10" s="8"/>
      <c r="O10" s="8"/>
      <c r="P10" s="8"/>
      <c r="Q10" s="8"/>
    </row>
    <row r="11">
      <c r="A11" s="153" t="s">
        <v>123</v>
      </c>
      <c r="B11" s="154">
        <v>1.0</v>
      </c>
      <c r="C11" s="155">
        <v>1.0</v>
      </c>
      <c r="D11" s="155">
        <v>1.0</v>
      </c>
      <c r="E11" s="155">
        <v>1.0</v>
      </c>
      <c r="F11" s="156">
        <v>1.0</v>
      </c>
      <c r="G11" s="157" t="str">
        <f t="shared" ref="G11:G24" si="2">SUM(B11:F11)</f>
        <v>5</v>
      </c>
      <c r="H11" s="8"/>
      <c r="I11" s="9"/>
      <c r="J11" s="155" t="str">
        <f>IFERROR(__xludf.DUMMYFUNCTION("""COMPUTED_VALUE"""),"TOKEN B")</f>
        <v>TOKEN B</v>
      </c>
      <c r="K11" s="158" t="str">
        <f t="shared" si="1"/>
        <v>33.33%</v>
      </c>
      <c r="L11" s="8"/>
      <c r="M11" s="8"/>
      <c r="N11" s="8"/>
      <c r="O11" s="8"/>
      <c r="P11" s="8"/>
      <c r="Q11" s="8"/>
    </row>
    <row r="12">
      <c r="A12" s="153" t="s">
        <v>124</v>
      </c>
      <c r="B12" s="154">
        <v>1.0</v>
      </c>
      <c r="C12" s="155">
        <v>1.0</v>
      </c>
      <c r="D12" s="155">
        <v>0.0</v>
      </c>
      <c r="E12" s="155">
        <v>1.0</v>
      </c>
      <c r="F12" s="156">
        <v>1.0</v>
      </c>
      <c r="G12" s="157" t="str">
        <f t="shared" si="2"/>
        <v>4</v>
      </c>
      <c r="H12" s="8"/>
      <c r="I12" s="9"/>
      <c r="J12" s="155" t="str">
        <f>IFERROR(__xludf.DUMMYFUNCTION("""COMPUTED_VALUE"""),"TOKEN C")</f>
        <v>TOKEN C</v>
      </c>
      <c r="K12" s="158" t="str">
        <f t="shared" si="1"/>
        <v>33.33%</v>
      </c>
      <c r="L12" s="8"/>
      <c r="M12" s="8"/>
      <c r="N12" s="8"/>
      <c r="O12" s="8"/>
      <c r="P12" s="8"/>
      <c r="Q12" s="8"/>
    </row>
    <row r="13">
      <c r="A13" s="153" t="s">
        <v>125</v>
      </c>
      <c r="B13" s="154">
        <v>1.0</v>
      </c>
      <c r="C13" s="155">
        <v>1.0</v>
      </c>
      <c r="D13" s="155">
        <v>1.0</v>
      </c>
      <c r="E13" s="155">
        <v>0.0</v>
      </c>
      <c r="F13" s="156">
        <v>0.0</v>
      </c>
      <c r="G13" s="157" t="str">
        <f t="shared" si="2"/>
        <v>3</v>
      </c>
      <c r="H13" s="8"/>
      <c r="I13" s="9"/>
      <c r="J13" s="8"/>
      <c r="K13" s="159" t="str">
        <f t="shared" si="1"/>
        <v/>
      </c>
      <c r="L13" s="8"/>
      <c r="M13" s="8"/>
      <c r="N13" s="8"/>
      <c r="O13" s="8"/>
      <c r="P13" s="8"/>
      <c r="Q13" s="8"/>
    </row>
    <row r="14">
      <c r="A14" s="153" t="s">
        <v>126</v>
      </c>
      <c r="B14" s="160"/>
      <c r="C14" s="8"/>
      <c r="D14" s="8"/>
      <c r="E14" s="8"/>
      <c r="F14" s="9"/>
      <c r="G14" s="157" t="str">
        <f t="shared" si="2"/>
        <v>0</v>
      </c>
      <c r="H14" s="8"/>
      <c r="I14" s="9"/>
      <c r="J14" s="8"/>
      <c r="K14" s="159" t="str">
        <f t="shared" si="1"/>
        <v/>
      </c>
      <c r="L14" s="8"/>
      <c r="M14" s="8"/>
      <c r="N14" s="8"/>
      <c r="O14" s="8"/>
      <c r="P14" s="8"/>
      <c r="Q14" s="8"/>
    </row>
    <row r="15">
      <c r="A15" s="153" t="s">
        <v>127</v>
      </c>
      <c r="B15" s="160"/>
      <c r="C15" s="8"/>
      <c r="D15" s="8"/>
      <c r="E15" s="8"/>
      <c r="F15" s="9"/>
      <c r="G15" s="157" t="str">
        <f t="shared" si="2"/>
        <v>0</v>
      </c>
      <c r="H15" s="8"/>
      <c r="I15" s="9"/>
      <c r="J15" s="11"/>
      <c r="K15" s="161" t="str">
        <f t="shared" si="1"/>
        <v/>
      </c>
      <c r="L15" s="8"/>
      <c r="M15" s="8"/>
      <c r="N15" s="8"/>
      <c r="O15" s="8"/>
      <c r="P15" s="8"/>
      <c r="Q15" s="8"/>
    </row>
    <row r="16">
      <c r="A16" s="153" t="s">
        <v>128</v>
      </c>
      <c r="B16" s="160"/>
      <c r="C16" s="8"/>
      <c r="D16" s="8"/>
      <c r="E16" s="8"/>
      <c r="F16" s="9"/>
      <c r="G16" s="157" t="str">
        <f t="shared" si="2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</row>
    <row r="17">
      <c r="A17" s="162"/>
      <c r="B17" s="160"/>
      <c r="C17" s="8"/>
      <c r="D17" s="8"/>
      <c r="E17" s="8"/>
      <c r="F17" s="9"/>
      <c r="G17" s="157" t="str">
        <f t="shared" si="2"/>
        <v>0</v>
      </c>
      <c r="H17" s="8"/>
      <c r="I17" s="8"/>
      <c r="J17" s="8"/>
      <c r="K17" s="8"/>
      <c r="L17" s="8"/>
      <c r="M17" s="8"/>
      <c r="N17" s="8"/>
      <c r="O17" s="8"/>
      <c r="P17" s="8"/>
      <c r="Q17" s="8"/>
    </row>
    <row r="18">
      <c r="A18" s="162"/>
      <c r="B18" s="160"/>
      <c r="C18" s="8"/>
      <c r="D18" s="8"/>
      <c r="E18" s="8"/>
      <c r="F18" s="9"/>
      <c r="G18" s="157" t="str">
        <f t="shared" si="2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</row>
    <row r="19">
      <c r="A19" s="162"/>
      <c r="B19" s="160"/>
      <c r="C19" s="8"/>
      <c r="D19" s="8"/>
      <c r="E19" s="8"/>
      <c r="F19" s="9"/>
      <c r="G19" s="157" t="str">
        <f t="shared" si="2"/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</row>
    <row r="20">
      <c r="A20" s="162"/>
      <c r="B20" s="160"/>
      <c r="C20" s="8"/>
      <c r="D20" s="8"/>
      <c r="E20" s="8"/>
      <c r="F20" s="9"/>
      <c r="G20" s="157" t="str">
        <f t="shared" si="2"/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</row>
    <row r="21">
      <c r="A21" s="162"/>
      <c r="B21" s="160"/>
      <c r="C21" s="8"/>
      <c r="D21" s="8"/>
      <c r="E21" s="8"/>
      <c r="F21" s="9"/>
      <c r="G21" s="157" t="str">
        <f t="shared" si="2"/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</row>
    <row r="22">
      <c r="A22" s="162"/>
      <c r="B22" s="160"/>
      <c r="C22" s="8"/>
      <c r="D22" s="8"/>
      <c r="E22" s="8"/>
      <c r="F22" s="9"/>
      <c r="G22" s="157" t="str">
        <f t="shared" si="2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</row>
    <row r="23">
      <c r="A23" s="162"/>
      <c r="B23" s="160"/>
      <c r="C23" s="8"/>
      <c r="D23" s="8"/>
      <c r="E23" s="8"/>
      <c r="F23" s="9"/>
      <c r="G23" s="157" t="str">
        <f t="shared" si="2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</row>
    <row r="24">
      <c r="A24" s="163"/>
      <c r="B24" s="164"/>
      <c r="C24" s="11"/>
      <c r="D24" s="11"/>
      <c r="E24" s="11"/>
      <c r="F24" s="12"/>
      <c r="G24" s="165" t="str">
        <f t="shared" si="2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</sheetData>
  <mergeCells count="3">
    <mergeCell ref="J8:K8"/>
    <mergeCell ref="L8:N9"/>
    <mergeCell ref="J9:K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8"/>
      <c r="B1" s="166" t="s">
        <v>129</v>
      </c>
      <c r="L1" s="8"/>
    </row>
    <row r="2">
      <c r="A2" s="8"/>
      <c r="L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67" t="s">
        <v>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>
      <c r="A5" s="8"/>
      <c r="B5" s="8"/>
      <c r="L5" s="8"/>
    </row>
    <row r="6">
      <c r="A6" s="8"/>
      <c r="L6" s="8"/>
    </row>
    <row r="7">
      <c r="A7" s="8"/>
      <c r="L7" s="8"/>
    </row>
    <row r="8">
      <c r="A8" s="8"/>
      <c r="L8" s="8"/>
    </row>
    <row r="9">
      <c r="A9" s="8"/>
      <c r="L9" s="8"/>
    </row>
    <row r="10">
      <c r="A10" s="8"/>
      <c r="L10" s="8"/>
    </row>
    <row r="11">
      <c r="A11" s="8"/>
      <c r="L11" s="8"/>
    </row>
    <row r="12">
      <c r="A12" s="8"/>
      <c r="L12" s="8"/>
    </row>
    <row r="13">
      <c r="A13" s="8"/>
      <c r="L13" s="8"/>
    </row>
    <row r="14">
      <c r="A14" s="8"/>
      <c r="L14" s="8"/>
    </row>
    <row r="15">
      <c r="A15" s="167" t="s">
        <v>130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>
      <c r="A16" s="8"/>
      <c r="B16" s="8"/>
      <c r="L16" s="8"/>
    </row>
    <row r="17">
      <c r="A17" s="8"/>
      <c r="L17" s="8"/>
    </row>
    <row r="18">
      <c r="A18" s="8"/>
      <c r="L18" s="8"/>
    </row>
    <row r="19">
      <c r="A19" s="8"/>
      <c r="L19" s="8"/>
    </row>
    <row r="20">
      <c r="A20" s="8"/>
      <c r="L20" s="8"/>
    </row>
    <row r="21">
      <c r="A21" s="8"/>
      <c r="L21" s="8"/>
    </row>
    <row r="22">
      <c r="A22" s="8"/>
      <c r="L22" s="8"/>
    </row>
    <row r="23">
      <c r="A23" s="8"/>
      <c r="L23" s="8"/>
    </row>
    <row r="24">
      <c r="A24" s="8"/>
      <c r="L24" s="8"/>
    </row>
    <row r="25">
      <c r="A25" s="8"/>
      <c r="L25" s="8"/>
    </row>
    <row r="26">
      <c r="A26" s="167" t="s">
        <v>131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>
      <c r="A27" s="8"/>
      <c r="B27" s="8"/>
      <c r="L27" s="8"/>
    </row>
    <row r="28">
      <c r="A28" s="8"/>
      <c r="L28" s="8"/>
    </row>
    <row r="29">
      <c r="A29" s="8"/>
      <c r="L29" s="8"/>
    </row>
    <row r="30">
      <c r="A30" s="8"/>
      <c r="L30" s="8"/>
    </row>
    <row r="31">
      <c r="A31" s="8"/>
      <c r="L31" s="8"/>
    </row>
    <row r="32">
      <c r="A32" s="8"/>
      <c r="L32" s="8"/>
    </row>
    <row r="33">
      <c r="A33" s="8"/>
      <c r="L33" s="8"/>
    </row>
    <row r="34">
      <c r="A34" s="8"/>
      <c r="L34" s="8"/>
    </row>
    <row r="35">
      <c r="A35" s="8"/>
      <c r="L35" s="8"/>
    </row>
    <row r="36">
      <c r="A36" s="8"/>
      <c r="L36" s="8"/>
    </row>
    <row r="37">
      <c r="A37" s="167" t="s">
        <v>21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>
      <c r="A38" s="8"/>
      <c r="B38" s="8"/>
      <c r="L38" s="8"/>
    </row>
    <row r="39">
      <c r="A39" s="8"/>
      <c r="L39" s="8"/>
    </row>
    <row r="40">
      <c r="A40" s="8"/>
      <c r="L40" s="8"/>
    </row>
    <row r="41">
      <c r="A41" s="8"/>
      <c r="L41" s="8"/>
    </row>
    <row r="42">
      <c r="A42" s="8"/>
      <c r="L42" s="8"/>
    </row>
    <row r="43">
      <c r="A43" s="8"/>
      <c r="L43" s="8"/>
    </row>
    <row r="44">
      <c r="A44" s="8"/>
      <c r="L44" s="8"/>
    </row>
    <row r="45">
      <c r="A45" s="8"/>
      <c r="L45" s="8"/>
    </row>
    <row r="46">
      <c r="A46" s="8"/>
      <c r="L46" s="8"/>
    </row>
    <row r="47">
      <c r="A47" s="8"/>
      <c r="L47" s="8"/>
    </row>
    <row r="48">
      <c r="A48" s="167" t="s">
        <v>28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>
      <c r="A49" s="8"/>
      <c r="B49" s="8"/>
      <c r="L49" s="8"/>
    </row>
    <row r="50">
      <c r="A50" s="8"/>
      <c r="L50" s="8"/>
    </row>
    <row r="51">
      <c r="A51" s="8"/>
      <c r="L51" s="8"/>
    </row>
    <row r="52">
      <c r="A52" s="8"/>
      <c r="L52" s="8"/>
    </row>
    <row r="53">
      <c r="A53" s="8"/>
      <c r="L53" s="8"/>
    </row>
    <row r="54">
      <c r="A54" s="8"/>
      <c r="L54" s="8"/>
    </row>
    <row r="55">
      <c r="A55" s="8"/>
      <c r="L55" s="8"/>
    </row>
    <row r="56">
      <c r="A56" s="8"/>
      <c r="L56" s="8"/>
    </row>
    <row r="57">
      <c r="A57" s="8"/>
      <c r="L57" s="8"/>
    </row>
    <row r="58">
      <c r="A58" s="8"/>
      <c r="L58" s="8"/>
    </row>
    <row r="59">
      <c r="A59" s="8"/>
      <c r="L59" s="8"/>
    </row>
    <row r="60">
      <c r="A60" s="167" t="s">
        <v>132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</row>
    <row r="61">
      <c r="A61" s="8"/>
      <c r="B61" s="8"/>
      <c r="L61" s="8"/>
    </row>
    <row r="62">
      <c r="A62" s="8"/>
      <c r="L62" s="8"/>
    </row>
    <row r="63">
      <c r="A63" s="8"/>
      <c r="L63" s="8"/>
    </row>
    <row r="64">
      <c r="A64" s="8"/>
      <c r="L64" s="8"/>
    </row>
    <row r="65">
      <c r="A65" s="8"/>
      <c r="L65" s="8"/>
    </row>
    <row r="66">
      <c r="A66" s="8"/>
      <c r="L66" s="8"/>
    </row>
    <row r="67">
      <c r="A67" s="8"/>
      <c r="L67" s="8"/>
    </row>
    <row r="68">
      <c r="A68" s="8"/>
      <c r="L68" s="8"/>
    </row>
    <row r="69">
      <c r="A69" s="8"/>
      <c r="L69" s="8"/>
    </row>
    <row r="70">
      <c r="A70" s="8"/>
      <c r="L70" s="8"/>
    </row>
    <row r="71">
      <c r="A71" s="8"/>
      <c r="L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</sheetData>
  <mergeCells count="13">
    <mergeCell ref="B27:K36"/>
    <mergeCell ref="B38:K47"/>
    <mergeCell ref="A48:L48"/>
    <mergeCell ref="B49:K59"/>
    <mergeCell ref="A60:L60"/>
    <mergeCell ref="B61:K71"/>
    <mergeCell ref="B1:K2"/>
    <mergeCell ref="A4:L4"/>
    <mergeCell ref="B5:K14"/>
    <mergeCell ref="A15:L15"/>
    <mergeCell ref="B16:K25"/>
    <mergeCell ref="A26:L26"/>
    <mergeCell ref="A37:L37"/>
  </mergeCells>
  <drawing r:id="rId1"/>
</worksheet>
</file>